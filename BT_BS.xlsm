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416\FinancialModeling\"/>
    </mc:Choice>
  </mc:AlternateContent>
  <xr:revisionPtr revIDLastSave="0" documentId="13_ncr:1_{3120A079-FB01-4FC3-B97A-5DB2FBDE8DA6}" xr6:coauthVersionLast="47" xr6:coauthVersionMax="47" xr10:uidLastSave="{00000000-0000-0000-0000-000000000000}"/>
  <bookViews>
    <workbookView xWindow="-108" yWindow="-108" windowWidth="23256" windowHeight="12576" activeTab="1" xr2:uid="{5E6FC7A1-DCE9-4619-B634-4E1F5F96C894}"/>
  </bookViews>
  <sheets>
    <sheet name="600760.SH(中航沈飞）" sheetId="1" r:id="rId1"/>
    <sheet name="Q1" sheetId="2" r:id="rId2"/>
    <sheet name="Q2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2" i="2" l="1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B12" i="2"/>
  <c r="B11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B10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B9" i="2"/>
  <c r="D18" i="2"/>
  <c r="L18" i="2"/>
  <c r="T18" i="2"/>
  <c r="F18" i="2"/>
  <c r="E18" i="2"/>
  <c r="M18" i="2"/>
  <c r="U18" i="2"/>
  <c r="N18" i="2"/>
  <c r="G18" i="2"/>
  <c r="O18" i="2"/>
  <c r="R18" i="2"/>
  <c r="S18" i="2"/>
  <c r="H18" i="2"/>
  <c r="P18" i="2"/>
  <c r="C18" i="2"/>
  <c r="I18" i="2"/>
  <c r="Q18" i="2"/>
  <c r="J18" i="2"/>
  <c r="K18" i="2"/>
  <c r="D17" i="2"/>
  <c r="L17" i="2"/>
  <c r="T17" i="2"/>
  <c r="O17" i="2"/>
  <c r="S17" i="2"/>
  <c r="E17" i="2"/>
  <c r="M17" i="2"/>
  <c r="U17" i="2"/>
  <c r="G17" i="2"/>
  <c r="C17" i="2"/>
  <c r="F17" i="2"/>
  <c r="N17" i="2"/>
  <c r="H17" i="2"/>
  <c r="P17" i="2"/>
  <c r="R17" i="2"/>
  <c r="I17" i="2"/>
  <c r="Q17" i="2"/>
  <c r="J17" i="2"/>
  <c r="K17" i="2"/>
  <c r="B18" i="2"/>
  <c r="B17" i="2"/>
  <c r="B21" i="2"/>
  <c r="B22" i="2" a="1"/>
  <c r="B19" i="2" l="1"/>
  <c r="B20" i="2"/>
  <c r="B22" i="2"/>
  <c r="K4" i="1" l="1"/>
  <c r="K7" i="1" s="1"/>
  <c r="K3" i="1"/>
  <c r="K6" i="1" s="1"/>
  <c r="K2" i="1"/>
  <c r="K5" i="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<sst xmlns="http://schemas.openxmlformats.org/spreadsheetml/2006/main" count="37" uniqueCount="33">
  <si>
    <t>日期</t>
  </si>
  <si>
    <t>开盘价(元)</t>
  </si>
  <si>
    <t>最高价(元)</t>
  </si>
  <si>
    <t>最低价(元)</t>
  </si>
  <si>
    <t>收盘价(元)</t>
  </si>
  <si>
    <t>成交额(百万)</t>
  </si>
  <si>
    <t>成交量</t>
  </si>
  <si>
    <t>std(return)</t>
  </si>
  <si>
    <t xml:space="preserve">mean(return) </t>
  </si>
  <si>
    <t>Annualized mean</t>
  </si>
  <si>
    <t>Annualized std</t>
  </si>
  <si>
    <t>Annualized var</t>
  </si>
  <si>
    <t>n</t>
  </si>
  <si>
    <t>var(return)</t>
  </si>
  <si>
    <t>initial stock price,S</t>
  </si>
  <si>
    <t>option exercise price, X</t>
  </si>
  <si>
    <t>up move</t>
  </si>
  <si>
    <t>down move</t>
  </si>
  <si>
    <t>interest rate</t>
  </si>
  <si>
    <t>number of periods unitil maturity,n</t>
  </si>
  <si>
    <t>Annual interest rate,r</t>
  </si>
  <si>
    <t>BS call</t>
  </si>
  <si>
    <t>BS put</t>
  </si>
  <si>
    <t>single European call</t>
  </si>
  <si>
    <t>single European put</t>
  </si>
  <si>
    <t>20-p European call</t>
  </si>
  <si>
    <t>20-p European put</t>
  </si>
  <si>
    <t>returns</t>
  </si>
  <si>
    <t>MPBT call</t>
  </si>
  <si>
    <t>MPBT put</t>
  </si>
  <si>
    <t>period</t>
  </si>
  <si>
    <t>option exercise date (years),T</t>
  </si>
  <si>
    <t>t=T/n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</si>
</sst>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"/>
    <numFmt numFmtId="177" formatCode="0.0000%"/>
    <numFmt numFmtId="178" formatCode="0.000000"/>
    <numFmt numFmtId="179" formatCode="0.0000000"/>
  </numFmts>
  <fonts count="3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177" fontId="0" fillId="0" borderId="0" xfId="1" applyNumberFormat="1" applyFont="1"/>
    <xf numFmtId="177" fontId="0" fillId="0" borderId="0" xfId="0" applyNumberFormat="1"/>
    <xf numFmtId="177" fontId="0" fillId="0" borderId="1" xfId="1" applyNumberFormat="1" applyFont="1" applyBorder="1" applyAlignment="1">
      <alignment vertical="top"/>
    </xf>
    <xf numFmtId="0" fontId="0" fillId="0" borderId="0" xfId="1" applyNumberFormat="1" applyFont="1"/>
    <xf numFmtId="2" fontId="0" fillId="0" borderId="1" xfId="1" applyNumberFormat="1" applyFont="1" applyBorder="1" applyAlignment="1">
      <alignment vertical="top"/>
    </xf>
    <xf numFmtId="0" fontId="0" fillId="0" borderId="2" xfId="0" applyBorder="1" applyAlignment="1">
      <alignment horizontal="center" vertical="center"/>
    </xf>
    <xf numFmtId="178" fontId="0" fillId="0" borderId="0" xfId="0" applyNumberFormat="1"/>
    <xf numFmtId="179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Call MPBT VS 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'Q2'!$B$1</c:f>
              <c:strCache>
                <c:ptCount val="1"/>
                <c:pt idx="0">
                  <c:v>MPBT call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'Q2'!$B$2:$B$21</c:f>
              <c:numCache>
                <c:formatCode>General</c:formatCode>
                <c:ptCount val="20"/>
                <c:pt idx="0">
                  <c:v>9.0391164144893317</c:v>
                </c:pt>
                <c:pt idx="1">
                  <c:v>6.5124190114745852</c:v>
                </c:pt>
                <c:pt idx="2">
                  <c:v>7.8910900628387601</c:v>
                </c:pt>
                <c:pt idx="3">
                  <c:v>6.8869150503295344</c:v>
                </c:pt>
                <c:pt idx="4">
                  <c:v>7.6546892799912012</c:v>
                </c:pt>
                <c:pt idx="5">
                  <c:v>7.0219430346594844</c:v>
                </c:pt>
                <c:pt idx="6">
                  <c:v>7.5538084542985864</c:v>
                </c:pt>
                <c:pt idx="7">
                  <c:v>7.0912007901636196</c:v>
                </c:pt>
                <c:pt idx="8">
                  <c:v>7.498015627461422</c:v>
                </c:pt>
                <c:pt idx="9">
                  <c:v>7.1332725467915479</c:v>
                </c:pt>
                <c:pt idx="10">
                  <c:v>7.4626339215509434</c:v>
                </c:pt>
                <c:pt idx="11">
                  <c:v>7.1615243217937419</c:v>
                </c:pt>
                <c:pt idx="12">
                  <c:v>7.4382032580590067</c:v>
                </c:pt>
                <c:pt idx="13">
                  <c:v>7.1818000685963206</c:v>
                </c:pt>
                <c:pt idx="14">
                  <c:v>7.4203239184508227</c:v>
                </c:pt>
                <c:pt idx="15">
                  <c:v>7.1970577219562495</c:v>
                </c:pt>
                <c:pt idx="16">
                  <c:v>7.4066735649781039</c:v>
                </c:pt>
                <c:pt idx="17">
                  <c:v>7.2089541859106685</c:v>
                </c:pt>
                <c:pt idx="18">
                  <c:v>7.395911073889498</c:v>
                </c:pt>
                <c:pt idx="19">
                  <c:v>7.2184895166242438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E8-4B35-8177-F99A1DB05DD9}"/>
            </c:ext>
          </c:extLst>
        </c:ser>
        <c:ser>
          <c:idx val="1"/>
          <c:order val="1"/>
          <c:tx>
            <c:strRef>
              <c:f>'Q2'!$C$1</c:f>
              <c:strCache>
                <c:ptCount val="1"/>
                <c:pt idx="0">
                  <c:v>BS call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'Q2'!$C$2:$C$21</c:f>
              <c:numCache>
                <c:formatCode>General</c:formatCode>
                <c:ptCount val="20"/>
                <c:pt idx="0">
                  <c:v>7.3049897717004129</c:v>
                </c:pt>
                <c:pt idx="1">
                  <c:v>7.3049897717004129</c:v>
                </c:pt>
                <c:pt idx="2">
                  <c:v>7.3049897717004129</c:v>
                </c:pt>
                <c:pt idx="3">
                  <c:v>7.3049897717004129</c:v>
                </c:pt>
                <c:pt idx="4">
                  <c:v>7.3049897717004129</c:v>
                </c:pt>
                <c:pt idx="5">
                  <c:v>7.3049897717004129</c:v>
                </c:pt>
                <c:pt idx="6">
                  <c:v>7.3049897717004129</c:v>
                </c:pt>
                <c:pt idx="7">
                  <c:v>7.3049897717004129</c:v>
                </c:pt>
                <c:pt idx="8">
                  <c:v>7.3049897717004129</c:v>
                </c:pt>
                <c:pt idx="9">
                  <c:v>7.3049897717004129</c:v>
                </c:pt>
                <c:pt idx="10">
                  <c:v>7.3049897717004129</c:v>
                </c:pt>
                <c:pt idx="11">
                  <c:v>7.3049897717004129</c:v>
                </c:pt>
                <c:pt idx="12">
                  <c:v>7.3049897717004129</c:v>
                </c:pt>
                <c:pt idx="13">
                  <c:v>7.3049897717004129</c:v>
                </c:pt>
                <c:pt idx="14">
                  <c:v>7.3049897717004129</c:v>
                </c:pt>
                <c:pt idx="15">
                  <c:v>7.3049897717004129</c:v>
                </c:pt>
                <c:pt idx="16">
                  <c:v>7.3049897717004129</c:v>
                </c:pt>
                <c:pt idx="17">
                  <c:v>7.3049897717004129</c:v>
                </c:pt>
                <c:pt idx="18">
                  <c:v>7.3049897717004129</c:v>
                </c:pt>
                <c:pt idx="19">
                  <c:v>7.3049897717004129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E8-4B35-8177-F99A1DB05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1822895"/>
        <c:axId val="1911827055"/>
      </c:lineChart>
      <c:catAx>
        <c:axId val="19118228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11827055"/>
        <c:crosses val="autoZero"/>
        <c:auto val="1"/>
        <c:lblAlgn val="ctr"/>
        <c:lblOffset val="100"/>
        <c:noMultiLvlLbl val="0"/>
      </c:catAx>
      <c:valAx>
        <c:axId val="1911827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11822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Put MPBT VS BS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'Q2'!$D$1</c:f>
              <c:strCache>
                <c:ptCount val="1"/>
                <c:pt idx="0">
                  <c:v>MPBT put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'Q2'!$D$2:$D$21</c:f>
              <c:numCache>
                <c:formatCode>General</c:formatCode>
                <c:ptCount val="20"/>
                <c:pt idx="0">
                  <c:v>8.3621071027827298</c:v>
                </c:pt>
                <c:pt idx="1">
                  <c:v>5.8354096997679932</c:v>
                </c:pt>
                <c:pt idx="2">
                  <c:v>7.2140807511321583</c:v>
                </c:pt>
                <c:pt idx="3">
                  <c:v>6.2099057386229077</c:v>
                </c:pt>
                <c:pt idx="4">
                  <c:v>6.9776799682845905</c:v>
                </c:pt>
                <c:pt idx="5">
                  <c:v>6.3449337229529164</c:v>
                </c:pt>
                <c:pt idx="6">
                  <c:v>6.8767991425919917</c:v>
                </c:pt>
                <c:pt idx="7">
                  <c:v>6.4141914784569991</c:v>
                </c:pt>
                <c:pt idx="8">
                  <c:v>6.8210063157548007</c:v>
                </c:pt>
                <c:pt idx="9">
                  <c:v>6.4562632350849185</c:v>
                </c:pt>
                <c:pt idx="10">
                  <c:v>6.7856246098443904</c:v>
                </c:pt>
                <c:pt idx="11">
                  <c:v>6.484515010087037</c:v>
                </c:pt>
                <c:pt idx="12">
                  <c:v>6.7611939463524493</c:v>
                </c:pt>
                <c:pt idx="13">
                  <c:v>6.5047907568897614</c:v>
                </c:pt>
                <c:pt idx="14">
                  <c:v>6.7433146067441214</c:v>
                </c:pt>
                <c:pt idx="15">
                  <c:v>6.5200484102497285</c:v>
                </c:pt>
                <c:pt idx="16">
                  <c:v>6.7296642532714799</c:v>
                </c:pt>
                <c:pt idx="17">
                  <c:v>6.5319448742039867</c:v>
                </c:pt>
                <c:pt idx="18">
                  <c:v>6.7189017621827674</c:v>
                </c:pt>
                <c:pt idx="19">
                  <c:v>6.5414802049177467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44-4389-887C-9B1D278DA5B0}"/>
            </c:ext>
          </c:extLst>
        </c:ser>
        <c:ser>
          <c:idx val="1"/>
          <c:order val="1"/>
          <c:tx>
            <c:strRef>
              <c:f>'Q2'!$E$1</c:f>
              <c:strCache>
                <c:ptCount val="1"/>
                <c:pt idx="0">
                  <c:v>BS put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'Q2'!$E$2:$E$21</c:f>
              <c:numCache>
                <c:formatCode>General</c:formatCode>
                <c:ptCount val="20"/>
                <c:pt idx="0">
                  <c:v>6.6279804599938217</c:v>
                </c:pt>
                <c:pt idx="1">
                  <c:v>6.6279804599938217</c:v>
                </c:pt>
                <c:pt idx="2">
                  <c:v>6.6279804599938217</c:v>
                </c:pt>
                <c:pt idx="3">
                  <c:v>6.6279804599938217</c:v>
                </c:pt>
                <c:pt idx="4">
                  <c:v>6.6279804599938217</c:v>
                </c:pt>
                <c:pt idx="5">
                  <c:v>6.6279804599938217</c:v>
                </c:pt>
                <c:pt idx="6">
                  <c:v>6.6279804599938217</c:v>
                </c:pt>
                <c:pt idx="7">
                  <c:v>6.6279804599938217</c:v>
                </c:pt>
                <c:pt idx="8">
                  <c:v>6.6279804599938217</c:v>
                </c:pt>
                <c:pt idx="9">
                  <c:v>6.6279804599938217</c:v>
                </c:pt>
                <c:pt idx="10">
                  <c:v>6.6279804599938217</c:v>
                </c:pt>
                <c:pt idx="11">
                  <c:v>6.6279804599938217</c:v>
                </c:pt>
                <c:pt idx="12">
                  <c:v>6.6279804599938217</c:v>
                </c:pt>
                <c:pt idx="13">
                  <c:v>6.6279804599938217</c:v>
                </c:pt>
                <c:pt idx="14">
                  <c:v>6.6279804599938217</c:v>
                </c:pt>
                <c:pt idx="15">
                  <c:v>6.6279804599938217</c:v>
                </c:pt>
                <c:pt idx="16">
                  <c:v>6.6279804599938217</c:v>
                </c:pt>
                <c:pt idx="17">
                  <c:v>6.6279804599938217</c:v>
                </c:pt>
                <c:pt idx="18">
                  <c:v>6.6279804599938217</c:v>
                </c:pt>
                <c:pt idx="19">
                  <c:v>6.6279804599938217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44-4389-887C-9B1D278DA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6134991"/>
        <c:axId val="1916078831"/>
      </c:lineChart>
      <c:catAx>
        <c:axId val="19161349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16078831"/>
        <c:crosses val="autoZero"/>
        <c:auto val="1"/>
        <c:lblAlgn val="ctr"/>
        <c:lblOffset val="100"/>
        <c:noMultiLvlLbl val="0"/>
      </c:catAx>
      <c:valAx>
        <c:axId val="191607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16134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514350</xdr:colOff>
      <xdr:row>1</xdr:row>
      <xdr:rowOff>166687</xdr:rowOff>
    </xdr:from>
    <xdr:to>
      <xdr:col>12</xdr:col>
      <xdr:colOff>419100</xdr:colOff>
      <xdr:row>18</xdr:row>
      <xdr:rowOff>133351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93DCB5-AE8C-FBB4-F711-7FD92393E3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342900</xdr:colOff>
      <xdr:row>18</xdr:row>
      <xdr:rowOff>90487</xdr:rowOff>
    </xdr:from>
    <xdr:to>
      <xdr:col>13</xdr:col>
      <xdr:colOff>38100</xdr:colOff>
      <xdr:row>32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9C6910F-6572-43DB-74C8-E5DD5367DE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C2C1E-9FBF-42ED-ADD9-F92B6F68A5C8}">
  <sheetPr codeName="Sheet1"/>
  <dimension ref="A1:K200"/>
  <sheetViews>
    <sheetView workbookViewId="0">
      <selection activeCell="E2" sqref="E2"/>
    </sheetView>
  </sheetViews>
  <sheetFormatPr defaultRowHeight="13.8" x14ac:dyDescent="0.25"/>
  <cols>
    <col min="1" max="1" width="10.44140625" bestFit="1" customWidth="1"/>
    <col min="8" max="8" width="9.88671875" bestFit="1" customWidth="1"/>
    <col min="10" max="10" width="16.5546875" bestFit="1" customWidth="1"/>
    <col min="11" max="11" width="12.109375" bestFit="1" customWidth="1"/>
  </cols>
  <sheetData>
    <row r="1" spans="1:1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10" t="s">
        <v>27</v>
      </c>
      <c r="J1" s="7" t="s">
        <v>12</v>
      </c>
      <c r="K1" s="9">
        <v>200</v>
      </c>
    </row>
    <row r="2" spans="1:11" x14ac:dyDescent="0.25">
      <c r="A2" s="3">
        <v>44561</v>
      </c>
      <c r="B2" s="4">
        <v>69.14</v>
      </c>
      <c r="C2" s="4">
        <v>69.180000000000007</v>
      </c>
      <c r="D2" s="4">
        <v>67.5</v>
      </c>
      <c r="E2" s="4">
        <v>68.040000000000006</v>
      </c>
      <c r="F2" s="4">
        <v>821.72</v>
      </c>
      <c r="G2" s="4">
        <v>12091000</v>
      </c>
      <c r="H2" s="5" t="e">
        <v>#REF!</v>
      </c>
      <c r="I2" s="6"/>
      <c r="J2" s="7" t="s">
        <v>8</v>
      </c>
      <c r="K2" s="7">
        <f>AVERAGE(H3:H200)</f>
        <v>3.1787332292560551E-4</v>
      </c>
    </row>
    <row r="3" spans="1:11" x14ac:dyDescent="0.25">
      <c r="A3" s="3">
        <v>44565</v>
      </c>
      <c r="B3" s="4">
        <v>67.2</v>
      </c>
      <c r="C3" s="4">
        <v>69</v>
      </c>
      <c r="D3" s="4">
        <v>67.12</v>
      </c>
      <c r="E3" s="4">
        <v>67.36</v>
      </c>
      <c r="F3" s="4">
        <v>774.9</v>
      </c>
      <c r="G3" s="4">
        <v>11430300</v>
      </c>
      <c r="H3" s="5">
        <v>-1.0044397593589856E-2</v>
      </c>
      <c r="J3" s="7" t="s">
        <v>13</v>
      </c>
      <c r="K3" s="7">
        <f>VAR(H3:H200)</f>
        <v>6.6800463251782526E-4</v>
      </c>
    </row>
    <row r="4" spans="1:11" x14ac:dyDescent="0.25">
      <c r="A4" s="3">
        <v>44566</v>
      </c>
      <c r="B4" s="4">
        <v>67.45</v>
      </c>
      <c r="C4" s="4">
        <v>67.819999999999993</v>
      </c>
      <c r="D4" s="4">
        <v>63.31</v>
      </c>
      <c r="E4" s="4">
        <v>63.93</v>
      </c>
      <c r="F4" s="4">
        <v>1052.8800000000001</v>
      </c>
      <c r="G4" s="4">
        <v>16230700</v>
      </c>
      <c r="H4" s="5">
        <v>-5.2262635155435812E-2</v>
      </c>
      <c r="J4" s="7" t="s">
        <v>7</v>
      </c>
      <c r="K4" s="7">
        <f>STDEV(H3:H200)</f>
        <v>2.5845785585232754E-2</v>
      </c>
    </row>
    <row r="5" spans="1:11" x14ac:dyDescent="0.25">
      <c r="A5" s="3">
        <v>44567</v>
      </c>
      <c r="B5" s="4">
        <v>63.7</v>
      </c>
      <c r="C5" s="4">
        <v>63.95</v>
      </c>
      <c r="D5" s="4">
        <v>61.81</v>
      </c>
      <c r="E5" s="4">
        <v>62.95</v>
      </c>
      <c r="F5" s="4">
        <v>913.94</v>
      </c>
      <c r="G5" s="4">
        <v>14563400</v>
      </c>
      <c r="H5" s="5">
        <v>-1.5447974288279251E-2</v>
      </c>
      <c r="J5" s="7" t="s">
        <v>9</v>
      </c>
      <c r="K5" s="7">
        <f>K1*K2</f>
        <v>6.3574664585121107E-2</v>
      </c>
    </row>
    <row r="6" spans="1:11" x14ac:dyDescent="0.25">
      <c r="A6" s="3">
        <v>44568</v>
      </c>
      <c r="B6" s="4">
        <v>63.09</v>
      </c>
      <c r="C6" s="4">
        <v>64.239999999999995</v>
      </c>
      <c r="D6" s="4">
        <v>61.8</v>
      </c>
      <c r="E6" s="4">
        <v>62.11</v>
      </c>
      <c r="F6" s="4">
        <v>675.61</v>
      </c>
      <c r="G6" s="4">
        <v>10725800</v>
      </c>
      <c r="H6" s="5">
        <v>-1.3433753919144583E-2</v>
      </c>
      <c r="J6" s="7" t="s">
        <v>11</v>
      </c>
      <c r="K6" s="7">
        <f>K1*K3</f>
        <v>0.13360092650356506</v>
      </c>
    </row>
    <row r="7" spans="1:11" x14ac:dyDescent="0.25">
      <c r="A7" s="3">
        <v>44571</v>
      </c>
      <c r="B7" s="4">
        <v>61.9</v>
      </c>
      <c r="C7" s="4">
        <v>63.3</v>
      </c>
      <c r="D7" s="4">
        <v>61.9</v>
      </c>
      <c r="E7" s="4">
        <v>63.18</v>
      </c>
      <c r="F7" s="4">
        <v>562.16999999999996</v>
      </c>
      <c r="G7" s="4">
        <v>8965300</v>
      </c>
      <c r="H7" s="5">
        <v>1.7080788802727568E-2</v>
      </c>
      <c r="J7" s="7" t="s">
        <v>10</v>
      </c>
      <c r="K7" s="7">
        <f>K4*SQRT(K1)</f>
        <v>0.36551460504823202</v>
      </c>
    </row>
    <row r="8" spans="1:11" x14ac:dyDescent="0.25">
      <c r="A8" s="3">
        <v>44572</v>
      </c>
      <c r="B8" s="4">
        <v>63.4</v>
      </c>
      <c r="C8" s="4">
        <v>63.43</v>
      </c>
      <c r="D8" s="4">
        <v>61.5</v>
      </c>
      <c r="E8" s="4">
        <v>61.86</v>
      </c>
      <c r="F8" s="4">
        <v>575.29</v>
      </c>
      <c r="G8" s="4">
        <v>9252700</v>
      </c>
      <c r="H8" s="5">
        <v>-2.1114028117015602E-2</v>
      </c>
    </row>
    <row r="9" spans="1:11" x14ac:dyDescent="0.25">
      <c r="A9" s="3">
        <v>44573</v>
      </c>
      <c r="B9" s="4">
        <v>61.9</v>
      </c>
      <c r="C9" s="4">
        <v>63.27</v>
      </c>
      <c r="D9" s="4">
        <v>61.86</v>
      </c>
      <c r="E9" s="4">
        <v>63.2</v>
      </c>
      <c r="F9" s="4">
        <v>553.58000000000004</v>
      </c>
      <c r="G9" s="4">
        <v>8833600</v>
      </c>
      <c r="H9" s="5">
        <v>2.1430533895888167E-2</v>
      </c>
    </row>
    <row r="10" spans="1:11" x14ac:dyDescent="0.25">
      <c r="A10" s="3">
        <v>44574</v>
      </c>
      <c r="B10" s="4">
        <v>63.2</v>
      </c>
      <c r="C10" s="4">
        <v>63.37</v>
      </c>
      <c r="D10" s="4">
        <v>61.9</v>
      </c>
      <c r="E10" s="4">
        <v>61.96</v>
      </c>
      <c r="F10" s="4">
        <v>411.12</v>
      </c>
      <c r="G10" s="4">
        <v>6592800</v>
      </c>
      <c r="H10" s="5">
        <v>-1.9815285604143851E-2</v>
      </c>
    </row>
    <row r="11" spans="1:11" x14ac:dyDescent="0.25">
      <c r="A11" s="3">
        <v>44575</v>
      </c>
      <c r="B11" s="4">
        <v>61.6</v>
      </c>
      <c r="C11" s="4">
        <v>62.15</v>
      </c>
      <c r="D11" s="4">
        <v>59.94</v>
      </c>
      <c r="E11" s="4">
        <v>60</v>
      </c>
      <c r="F11" s="4">
        <v>832.86</v>
      </c>
      <c r="G11" s="4">
        <v>13704000</v>
      </c>
      <c r="H11" s="5">
        <v>-3.2144453326567186E-2</v>
      </c>
    </row>
    <row r="12" spans="1:11" x14ac:dyDescent="0.25">
      <c r="A12" s="3">
        <v>44578</v>
      </c>
      <c r="B12" s="4">
        <v>60.11</v>
      </c>
      <c r="C12" s="4">
        <v>61.66</v>
      </c>
      <c r="D12" s="4">
        <v>59.7</v>
      </c>
      <c r="E12" s="4">
        <v>61.53</v>
      </c>
      <c r="F12" s="4">
        <v>633.30999999999995</v>
      </c>
      <c r="G12" s="4">
        <v>10417000</v>
      </c>
      <c r="H12" s="5">
        <v>2.5180298530298326E-2</v>
      </c>
    </row>
    <row r="13" spans="1:11" x14ac:dyDescent="0.25">
      <c r="A13" s="3">
        <v>44579</v>
      </c>
      <c r="B13" s="4">
        <v>61.17</v>
      </c>
      <c r="C13" s="4">
        <v>62.23</v>
      </c>
      <c r="D13" s="4">
        <v>60.96</v>
      </c>
      <c r="E13" s="4">
        <v>61.81</v>
      </c>
      <c r="F13" s="4">
        <v>458.62</v>
      </c>
      <c r="G13" s="4">
        <v>7431600</v>
      </c>
      <c r="H13" s="5">
        <v>4.5403029187830101E-3</v>
      </c>
    </row>
    <row r="14" spans="1:11" x14ac:dyDescent="0.25">
      <c r="A14" s="3">
        <v>44580</v>
      </c>
      <c r="B14" s="4">
        <v>61.81</v>
      </c>
      <c r="C14" s="4">
        <v>61.81</v>
      </c>
      <c r="D14" s="4">
        <v>58</v>
      </c>
      <c r="E14" s="4">
        <v>58.95</v>
      </c>
      <c r="F14" s="4">
        <v>891.02</v>
      </c>
      <c r="G14" s="4">
        <v>15008200</v>
      </c>
      <c r="H14" s="5">
        <v>-4.737553668780202E-2</v>
      </c>
    </row>
    <row r="15" spans="1:11" x14ac:dyDescent="0.25">
      <c r="A15" s="3">
        <v>44581</v>
      </c>
      <c r="B15" s="4">
        <v>59</v>
      </c>
      <c r="C15" s="4">
        <v>59.2</v>
      </c>
      <c r="D15" s="4">
        <v>56.11</v>
      </c>
      <c r="E15" s="4">
        <v>56.77</v>
      </c>
      <c r="F15" s="4">
        <v>1410.15</v>
      </c>
      <c r="G15" s="4">
        <v>24649800</v>
      </c>
      <c r="H15" s="5">
        <v>-3.7681609800745072E-2</v>
      </c>
    </row>
    <row r="16" spans="1:11" x14ac:dyDescent="0.25">
      <c r="A16" s="3">
        <v>44582</v>
      </c>
      <c r="B16" s="4">
        <v>52.7</v>
      </c>
      <c r="C16" s="4">
        <v>53.95</v>
      </c>
      <c r="D16" s="4">
        <v>51.09</v>
      </c>
      <c r="E16" s="4">
        <v>53.08</v>
      </c>
      <c r="F16" s="4">
        <v>2282.35</v>
      </c>
      <c r="G16" s="4">
        <v>43624500</v>
      </c>
      <c r="H16" s="5">
        <v>-6.7207807718628193E-2</v>
      </c>
    </row>
    <row r="17" spans="1:8" x14ac:dyDescent="0.25">
      <c r="A17" s="3">
        <v>44585</v>
      </c>
      <c r="B17" s="4">
        <v>53.05</v>
      </c>
      <c r="C17" s="4">
        <v>54.68</v>
      </c>
      <c r="D17" s="4">
        <v>52.2</v>
      </c>
      <c r="E17" s="4">
        <v>53.8</v>
      </c>
      <c r="F17" s="4">
        <v>958.6</v>
      </c>
      <c r="G17" s="4">
        <v>17953200</v>
      </c>
      <c r="H17" s="5">
        <v>1.3473257703731865E-2</v>
      </c>
    </row>
    <row r="18" spans="1:8" x14ac:dyDescent="0.25">
      <c r="A18" s="3">
        <v>44586</v>
      </c>
      <c r="B18" s="4">
        <v>54.3</v>
      </c>
      <c r="C18" s="4">
        <v>55.26</v>
      </c>
      <c r="D18" s="4">
        <v>53.15</v>
      </c>
      <c r="E18" s="4">
        <v>53.17</v>
      </c>
      <c r="F18" s="4">
        <v>835.75</v>
      </c>
      <c r="G18" s="4">
        <v>15417000</v>
      </c>
      <c r="H18" s="5">
        <v>-1.1779139651491504E-2</v>
      </c>
    </row>
    <row r="19" spans="1:8" x14ac:dyDescent="0.25">
      <c r="A19" s="3">
        <v>44587</v>
      </c>
      <c r="B19" s="4">
        <v>53.15</v>
      </c>
      <c r="C19" s="4">
        <v>53.97</v>
      </c>
      <c r="D19" s="4">
        <v>51.6</v>
      </c>
      <c r="E19" s="4">
        <v>52.78</v>
      </c>
      <c r="F19" s="4">
        <v>663.45</v>
      </c>
      <c r="G19" s="4">
        <v>12567900</v>
      </c>
      <c r="H19" s="5">
        <v>-7.3619964410690823E-3</v>
      </c>
    </row>
    <row r="20" spans="1:8" x14ac:dyDescent="0.25">
      <c r="A20" s="3">
        <v>44588</v>
      </c>
      <c r="B20" s="4">
        <v>52.76</v>
      </c>
      <c r="C20" s="4">
        <v>53.29</v>
      </c>
      <c r="D20" s="4">
        <v>51.11</v>
      </c>
      <c r="E20" s="4">
        <v>51.25</v>
      </c>
      <c r="F20" s="4">
        <v>490.3</v>
      </c>
      <c r="G20" s="4">
        <v>9417000</v>
      </c>
      <c r="H20" s="5">
        <v>-2.9416713056660427E-2</v>
      </c>
    </row>
    <row r="21" spans="1:8" x14ac:dyDescent="0.25">
      <c r="A21" s="3">
        <v>44589</v>
      </c>
      <c r="B21" s="4">
        <v>51.6</v>
      </c>
      <c r="C21" s="4">
        <v>52.5</v>
      </c>
      <c r="D21" s="4">
        <v>50.9</v>
      </c>
      <c r="E21" s="4">
        <v>51.6</v>
      </c>
      <c r="F21" s="4">
        <v>504.27</v>
      </c>
      <c r="G21" s="4">
        <v>9741000</v>
      </c>
      <c r="H21" s="5">
        <v>6.8060544689994961E-3</v>
      </c>
    </row>
    <row r="22" spans="1:8" x14ac:dyDescent="0.25">
      <c r="A22" s="3">
        <v>44599</v>
      </c>
      <c r="B22" s="4">
        <v>52.7</v>
      </c>
      <c r="C22" s="4">
        <v>52.9</v>
      </c>
      <c r="D22" s="4">
        <v>51.53</v>
      </c>
      <c r="E22" s="4">
        <v>51.75</v>
      </c>
      <c r="F22" s="4">
        <v>404</v>
      </c>
      <c r="G22" s="4">
        <v>7772900</v>
      </c>
      <c r="H22" s="5">
        <v>2.9027596579614102E-3</v>
      </c>
    </row>
    <row r="23" spans="1:8" x14ac:dyDescent="0.25">
      <c r="A23" s="3">
        <v>44600</v>
      </c>
      <c r="B23" s="4">
        <v>52.1</v>
      </c>
      <c r="C23" s="4">
        <v>52.1</v>
      </c>
      <c r="D23" s="4">
        <v>50.33</v>
      </c>
      <c r="E23" s="4">
        <v>52.1</v>
      </c>
      <c r="F23" s="4">
        <v>462.26</v>
      </c>
      <c r="G23" s="4">
        <v>9010300</v>
      </c>
      <c r="H23" s="5">
        <v>6.740516613842765E-3</v>
      </c>
    </row>
    <row r="24" spans="1:8" x14ac:dyDescent="0.25">
      <c r="A24" s="3">
        <v>44601</v>
      </c>
      <c r="B24" s="4">
        <v>51.9</v>
      </c>
      <c r="C24" s="4">
        <v>53.3</v>
      </c>
      <c r="D24" s="4">
        <v>51.52</v>
      </c>
      <c r="E24" s="4">
        <v>53.03</v>
      </c>
      <c r="F24" s="4">
        <v>684.84</v>
      </c>
      <c r="G24" s="4">
        <v>13016000</v>
      </c>
      <c r="H24" s="5">
        <v>1.7692842389717377E-2</v>
      </c>
    </row>
    <row r="25" spans="1:8" x14ac:dyDescent="0.25">
      <c r="A25" s="3">
        <v>44602</v>
      </c>
      <c r="B25" s="4">
        <v>53.04</v>
      </c>
      <c r="C25" s="4">
        <v>54</v>
      </c>
      <c r="D25" s="4">
        <v>52.56</v>
      </c>
      <c r="E25" s="4">
        <v>53.1</v>
      </c>
      <c r="F25" s="4">
        <v>628.14</v>
      </c>
      <c r="G25" s="4">
        <v>11803400</v>
      </c>
      <c r="H25" s="5">
        <v>1.3191370988545721E-3</v>
      </c>
    </row>
    <row r="26" spans="1:8" x14ac:dyDescent="0.25">
      <c r="A26" s="3">
        <v>44603</v>
      </c>
      <c r="B26" s="4">
        <v>52.9</v>
      </c>
      <c r="C26" s="4">
        <v>53.36</v>
      </c>
      <c r="D26" s="4">
        <v>51.64</v>
      </c>
      <c r="E26" s="4">
        <v>51.89</v>
      </c>
      <c r="F26" s="4">
        <v>450.7</v>
      </c>
      <c r="G26" s="4">
        <v>8578400</v>
      </c>
      <c r="H26" s="5">
        <v>-2.3050834868244944E-2</v>
      </c>
    </row>
    <row r="27" spans="1:8" x14ac:dyDescent="0.25">
      <c r="A27" s="3">
        <v>44606</v>
      </c>
      <c r="B27" s="4">
        <v>52.5</v>
      </c>
      <c r="C27" s="4">
        <v>54</v>
      </c>
      <c r="D27" s="4">
        <v>52.18</v>
      </c>
      <c r="E27" s="4">
        <v>53.15</v>
      </c>
      <c r="F27" s="4">
        <v>765.24</v>
      </c>
      <c r="G27" s="4">
        <v>14391500</v>
      </c>
      <c r="H27" s="5">
        <v>2.3992011408308537E-2</v>
      </c>
    </row>
    <row r="28" spans="1:8" x14ac:dyDescent="0.25">
      <c r="A28" s="3">
        <v>44607</v>
      </c>
      <c r="B28" s="4">
        <v>53.13</v>
      </c>
      <c r="C28" s="4">
        <v>54.65</v>
      </c>
      <c r="D28" s="4">
        <v>52.95</v>
      </c>
      <c r="E28" s="4">
        <v>54.21</v>
      </c>
      <c r="F28" s="4">
        <v>874.24</v>
      </c>
      <c r="G28" s="4">
        <v>16176600</v>
      </c>
      <c r="H28" s="5">
        <v>1.9747288484290023E-2</v>
      </c>
    </row>
    <row r="29" spans="1:8" x14ac:dyDescent="0.25">
      <c r="A29" s="3">
        <v>44608</v>
      </c>
      <c r="B29" s="4">
        <v>53.75</v>
      </c>
      <c r="C29" s="4">
        <v>53.75</v>
      </c>
      <c r="D29" s="4">
        <v>52.3</v>
      </c>
      <c r="E29" s="4">
        <v>52.66</v>
      </c>
      <c r="F29" s="4">
        <v>892.7</v>
      </c>
      <c r="G29" s="4">
        <v>16913600</v>
      </c>
      <c r="H29" s="5">
        <v>-2.9009239204083537E-2</v>
      </c>
    </row>
    <row r="30" spans="1:8" x14ac:dyDescent="0.25">
      <c r="A30" s="3">
        <v>44609</v>
      </c>
      <c r="B30" s="4">
        <v>52.5</v>
      </c>
      <c r="C30" s="4">
        <v>54.48</v>
      </c>
      <c r="D30" s="4">
        <v>52.28</v>
      </c>
      <c r="E30" s="4">
        <v>53.96</v>
      </c>
      <c r="F30" s="4">
        <v>863.59</v>
      </c>
      <c r="G30" s="4">
        <v>16153500</v>
      </c>
      <c r="H30" s="5">
        <v>2.4386877271391768E-2</v>
      </c>
    </row>
    <row r="31" spans="1:8" x14ac:dyDescent="0.25">
      <c r="A31" s="3">
        <v>44610</v>
      </c>
      <c r="B31" s="4">
        <v>53.5</v>
      </c>
      <c r="C31" s="4">
        <v>53.51</v>
      </c>
      <c r="D31" s="4">
        <v>52.4</v>
      </c>
      <c r="E31" s="4">
        <v>52.94</v>
      </c>
      <c r="F31" s="4">
        <v>686.84</v>
      </c>
      <c r="G31" s="4">
        <v>13012700</v>
      </c>
      <c r="H31" s="5">
        <v>-1.9083834540599927E-2</v>
      </c>
    </row>
    <row r="32" spans="1:8" x14ac:dyDescent="0.25">
      <c r="A32" s="3">
        <v>44613</v>
      </c>
      <c r="B32" s="4">
        <v>53</v>
      </c>
      <c r="C32" s="4">
        <v>53.8</v>
      </c>
      <c r="D32" s="4">
        <v>52.52</v>
      </c>
      <c r="E32" s="4">
        <v>52.88</v>
      </c>
      <c r="F32" s="4">
        <v>566.91</v>
      </c>
      <c r="G32" s="4">
        <v>10692100</v>
      </c>
      <c r="H32" s="5">
        <v>-1.1340012555243048E-3</v>
      </c>
    </row>
    <row r="33" spans="1:8" x14ac:dyDescent="0.25">
      <c r="A33" s="3">
        <v>44614</v>
      </c>
      <c r="B33" s="4">
        <v>53.72</v>
      </c>
      <c r="C33" s="4">
        <v>53.95</v>
      </c>
      <c r="D33" s="4">
        <v>51.45</v>
      </c>
      <c r="E33" s="4">
        <v>52.27</v>
      </c>
      <c r="F33" s="4">
        <v>785.61</v>
      </c>
      <c r="G33" s="4">
        <v>14983000</v>
      </c>
      <c r="H33" s="5">
        <v>-1.1602602818600375E-2</v>
      </c>
    </row>
    <row r="34" spans="1:8" x14ac:dyDescent="0.25">
      <c r="A34" s="3">
        <v>44615</v>
      </c>
      <c r="B34" s="4">
        <v>52.18</v>
      </c>
      <c r="C34" s="4">
        <v>54.4</v>
      </c>
      <c r="D34" s="4">
        <v>51.75</v>
      </c>
      <c r="E34" s="4">
        <v>54.34</v>
      </c>
      <c r="F34" s="4">
        <v>1326.43</v>
      </c>
      <c r="G34" s="4">
        <v>24780200</v>
      </c>
      <c r="H34" s="5">
        <v>3.8838011273371255E-2</v>
      </c>
    </row>
    <row r="35" spans="1:8" x14ac:dyDescent="0.25">
      <c r="A35" s="3">
        <v>44616</v>
      </c>
      <c r="B35" s="4">
        <v>54.1</v>
      </c>
      <c r="C35" s="4">
        <v>57.85</v>
      </c>
      <c r="D35" s="4">
        <v>53.44</v>
      </c>
      <c r="E35" s="4">
        <v>56.55</v>
      </c>
      <c r="F35" s="4">
        <v>2446.66</v>
      </c>
      <c r="G35" s="4">
        <v>44056400</v>
      </c>
      <c r="H35" s="5">
        <v>3.9864598563927607E-2</v>
      </c>
    </row>
    <row r="36" spans="1:8" x14ac:dyDescent="0.25">
      <c r="A36" s="3">
        <v>44617</v>
      </c>
      <c r="B36" s="4">
        <v>55</v>
      </c>
      <c r="C36" s="4">
        <v>56.45</v>
      </c>
      <c r="D36" s="4">
        <v>53.8</v>
      </c>
      <c r="E36" s="4">
        <v>55.7</v>
      </c>
      <c r="F36" s="4">
        <v>1365.84</v>
      </c>
      <c r="G36" s="4">
        <v>24702100</v>
      </c>
      <c r="H36" s="5">
        <v>-1.5145055628891062E-2</v>
      </c>
    </row>
    <row r="37" spans="1:8" x14ac:dyDescent="0.25">
      <c r="A37" s="3">
        <v>44620</v>
      </c>
      <c r="B37" s="4">
        <v>56.4</v>
      </c>
      <c r="C37" s="4">
        <v>56.95</v>
      </c>
      <c r="D37" s="4">
        <v>55.54</v>
      </c>
      <c r="E37" s="4">
        <v>56.04</v>
      </c>
      <c r="F37" s="4">
        <v>1129.33</v>
      </c>
      <c r="G37" s="4">
        <v>20035900</v>
      </c>
      <c r="H37" s="5">
        <v>6.0855745355677749E-3</v>
      </c>
    </row>
    <row r="38" spans="1:8" x14ac:dyDescent="0.25">
      <c r="A38" s="3">
        <v>44621</v>
      </c>
      <c r="B38" s="4">
        <v>56.56</v>
      </c>
      <c r="C38" s="4">
        <v>58.88</v>
      </c>
      <c r="D38" s="4">
        <v>55.96</v>
      </c>
      <c r="E38" s="4">
        <v>58.03</v>
      </c>
      <c r="F38" s="4">
        <v>1621.98</v>
      </c>
      <c r="G38" s="4">
        <v>28159300</v>
      </c>
      <c r="H38" s="5">
        <v>3.4894396733710739E-2</v>
      </c>
    </row>
    <row r="39" spans="1:8" x14ac:dyDescent="0.25">
      <c r="A39" s="3">
        <v>44622</v>
      </c>
      <c r="B39" s="4">
        <v>58.1</v>
      </c>
      <c r="C39" s="4">
        <v>58.36</v>
      </c>
      <c r="D39" s="4">
        <v>56.8</v>
      </c>
      <c r="E39" s="4">
        <v>57.12</v>
      </c>
      <c r="F39" s="4">
        <v>1017.27</v>
      </c>
      <c r="G39" s="4">
        <v>17770200</v>
      </c>
      <c r="H39" s="5">
        <v>-1.5805800171188034E-2</v>
      </c>
    </row>
    <row r="40" spans="1:8" x14ac:dyDescent="0.25">
      <c r="A40" s="3">
        <v>44623</v>
      </c>
      <c r="B40" s="4">
        <v>57.18</v>
      </c>
      <c r="C40" s="4">
        <v>57.24</v>
      </c>
      <c r="D40" s="4">
        <v>55.17</v>
      </c>
      <c r="E40" s="4">
        <v>55.23</v>
      </c>
      <c r="F40" s="4">
        <v>877.51</v>
      </c>
      <c r="G40" s="4">
        <v>15774900</v>
      </c>
      <c r="H40" s="5">
        <v>-3.3648034118232757E-2</v>
      </c>
    </row>
    <row r="41" spans="1:8" x14ac:dyDescent="0.25">
      <c r="A41" s="3">
        <v>44624</v>
      </c>
      <c r="B41" s="4">
        <v>55.2</v>
      </c>
      <c r="C41" s="4">
        <v>55.59</v>
      </c>
      <c r="D41" s="4">
        <v>53.86</v>
      </c>
      <c r="E41" s="4">
        <v>54.33</v>
      </c>
      <c r="F41" s="4">
        <v>707.53</v>
      </c>
      <c r="G41" s="4">
        <v>12967900</v>
      </c>
      <c r="H41" s="5">
        <v>-1.6429723349664471E-2</v>
      </c>
    </row>
    <row r="42" spans="1:8" x14ac:dyDescent="0.25">
      <c r="A42" s="3">
        <v>44627</v>
      </c>
      <c r="B42" s="4">
        <v>54.83</v>
      </c>
      <c r="C42" s="4">
        <v>55.12</v>
      </c>
      <c r="D42" s="4">
        <v>53.52</v>
      </c>
      <c r="E42" s="4">
        <v>53.57</v>
      </c>
      <c r="F42" s="4">
        <v>685.69</v>
      </c>
      <c r="G42" s="4">
        <v>12664500</v>
      </c>
      <c r="H42" s="5">
        <v>-1.4087350670562724E-2</v>
      </c>
    </row>
    <row r="43" spans="1:8" x14ac:dyDescent="0.25">
      <c r="A43" s="3">
        <v>44628</v>
      </c>
      <c r="B43" s="4">
        <v>53.15</v>
      </c>
      <c r="C43" s="4">
        <v>53.8</v>
      </c>
      <c r="D43" s="4">
        <v>50.93</v>
      </c>
      <c r="E43" s="4">
        <v>51.05</v>
      </c>
      <c r="F43" s="4">
        <v>757.22</v>
      </c>
      <c r="G43" s="4">
        <v>14509300</v>
      </c>
      <c r="H43" s="5">
        <v>-4.8183665282194491E-2</v>
      </c>
    </row>
    <row r="44" spans="1:8" x14ac:dyDescent="0.25">
      <c r="A44" s="3">
        <v>44629</v>
      </c>
      <c r="B44" s="4">
        <v>51.25</v>
      </c>
      <c r="C44" s="4">
        <v>51.66</v>
      </c>
      <c r="D44" s="4">
        <v>47.45</v>
      </c>
      <c r="E44" s="4">
        <v>51.39</v>
      </c>
      <c r="F44" s="4">
        <v>1090.3</v>
      </c>
      <c r="G44" s="4">
        <v>21994700</v>
      </c>
      <c r="H44" s="5">
        <v>6.6380563934637414E-3</v>
      </c>
    </row>
    <row r="45" spans="1:8" x14ac:dyDescent="0.25">
      <c r="A45" s="3">
        <v>44630</v>
      </c>
      <c r="B45" s="4">
        <v>51.93</v>
      </c>
      <c r="C45" s="4">
        <v>54.3</v>
      </c>
      <c r="D45" s="4">
        <v>51.93</v>
      </c>
      <c r="E45" s="4">
        <v>53.38</v>
      </c>
      <c r="F45" s="4">
        <v>998.25</v>
      </c>
      <c r="G45" s="4">
        <v>18748100</v>
      </c>
      <c r="H45" s="5">
        <v>3.7992542972239869E-2</v>
      </c>
    </row>
    <row r="46" spans="1:8" x14ac:dyDescent="0.25">
      <c r="A46" s="3">
        <v>44631</v>
      </c>
      <c r="B46" s="4">
        <v>52.8</v>
      </c>
      <c r="C46" s="4">
        <v>54.96</v>
      </c>
      <c r="D46" s="4">
        <v>52.16</v>
      </c>
      <c r="E46" s="4">
        <v>54.9</v>
      </c>
      <c r="F46" s="4">
        <v>830.41</v>
      </c>
      <c r="G46" s="4">
        <v>15451400</v>
      </c>
      <c r="H46" s="5">
        <v>2.8077204539106698E-2</v>
      </c>
    </row>
    <row r="47" spans="1:8" x14ac:dyDescent="0.25">
      <c r="A47" s="3">
        <v>44634</v>
      </c>
      <c r="B47" s="4">
        <v>54</v>
      </c>
      <c r="C47" s="4">
        <v>56.99</v>
      </c>
      <c r="D47" s="4">
        <v>53.81</v>
      </c>
      <c r="E47" s="4">
        <v>56.34</v>
      </c>
      <c r="F47" s="4">
        <v>1335.02</v>
      </c>
      <c r="G47" s="4">
        <v>23752300</v>
      </c>
      <c r="H47" s="5">
        <v>2.5891413932741709E-2</v>
      </c>
    </row>
    <row r="48" spans="1:8" x14ac:dyDescent="0.25">
      <c r="A48" s="3">
        <v>44635</v>
      </c>
      <c r="B48" s="4">
        <v>55.75</v>
      </c>
      <c r="C48" s="4">
        <v>57.5</v>
      </c>
      <c r="D48" s="4">
        <v>55</v>
      </c>
      <c r="E48" s="4">
        <v>55.01</v>
      </c>
      <c r="F48" s="4">
        <v>1276.99</v>
      </c>
      <c r="G48" s="4">
        <v>22613900</v>
      </c>
      <c r="H48" s="5">
        <v>-2.3889775560859881E-2</v>
      </c>
    </row>
    <row r="49" spans="1:8" x14ac:dyDescent="0.25">
      <c r="A49" s="3">
        <v>44636</v>
      </c>
      <c r="B49" s="4">
        <v>55.83</v>
      </c>
      <c r="C49" s="4">
        <v>57.15</v>
      </c>
      <c r="D49" s="4">
        <v>54.1</v>
      </c>
      <c r="E49" s="4">
        <v>56.75</v>
      </c>
      <c r="F49" s="4">
        <v>1100.4000000000001</v>
      </c>
      <c r="G49" s="4">
        <v>19662400</v>
      </c>
      <c r="H49" s="5">
        <v>3.1140669474145385E-2</v>
      </c>
    </row>
    <row r="50" spans="1:8" x14ac:dyDescent="0.25">
      <c r="A50" s="3">
        <v>44637</v>
      </c>
      <c r="B50" s="4">
        <v>57.24</v>
      </c>
      <c r="C50" s="4">
        <v>57.77</v>
      </c>
      <c r="D50" s="4">
        <v>55.93</v>
      </c>
      <c r="E50" s="4">
        <v>56.2</v>
      </c>
      <c r="F50" s="4">
        <v>1185.93</v>
      </c>
      <c r="G50" s="4">
        <v>20968500</v>
      </c>
      <c r="H50" s="5">
        <v>-9.738899461866608E-3</v>
      </c>
    </row>
    <row r="51" spans="1:8" x14ac:dyDescent="0.25">
      <c r="A51" s="3">
        <v>44638</v>
      </c>
      <c r="B51" s="4">
        <v>55.8</v>
      </c>
      <c r="C51" s="4">
        <v>55.9</v>
      </c>
      <c r="D51" s="4">
        <v>54.31</v>
      </c>
      <c r="E51" s="4">
        <v>55.17</v>
      </c>
      <c r="F51" s="4">
        <v>666.5</v>
      </c>
      <c r="G51" s="4">
        <v>12079200</v>
      </c>
      <c r="H51" s="5">
        <v>-1.8497429615305979E-2</v>
      </c>
    </row>
    <row r="52" spans="1:8" x14ac:dyDescent="0.25">
      <c r="A52" s="3">
        <v>44641</v>
      </c>
      <c r="B52" s="4">
        <v>55.03</v>
      </c>
      <c r="C52" s="4">
        <v>56.8</v>
      </c>
      <c r="D52" s="4">
        <v>55.03</v>
      </c>
      <c r="E52" s="4">
        <v>56</v>
      </c>
      <c r="F52" s="4">
        <v>554.26</v>
      </c>
      <c r="G52" s="4">
        <v>9899900</v>
      </c>
      <c r="H52" s="5">
        <v>1.4932363450809841E-2</v>
      </c>
    </row>
    <row r="53" spans="1:8" x14ac:dyDescent="0.25">
      <c r="A53" s="3">
        <v>44642</v>
      </c>
      <c r="B53" s="4">
        <v>55.89</v>
      </c>
      <c r="C53" s="4">
        <v>56.8</v>
      </c>
      <c r="D53" s="4">
        <v>55.08</v>
      </c>
      <c r="E53" s="4">
        <v>55.85</v>
      </c>
      <c r="F53" s="4">
        <v>578.89</v>
      </c>
      <c r="G53" s="4">
        <v>10373800</v>
      </c>
      <c r="H53" s="5">
        <v>-2.6821652199395087E-3</v>
      </c>
    </row>
    <row r="54" spans="1:8" x14ac:dyDescent="0.25">
      <c r="A54" s="3">
        <v>44643</v>
      </c>
      <c r="B54" s="4">
        <v>55.51</v>
      </c>
      <c r="C54" s="4">
        <v>59.78</v>
      </c>
      <c r="D54" s="4">
        <v>55.38</v>
      </c>
      <c r="E54" s="4">
        <v>58.75</v>
      </c>
      <c r="F54" s="4">
        <v>1511.92</v>
      </c>
      <c r="G54" s="4">
        <v>25985200</v>
      </c>
      <c r="H54" s="5">
        <v>5.0621627509058555E-2</v>
      </c>
    </row>
    <row r="55" spans="1:8" x14ac:dyDescent="0.25">
      <c r="A55" s="3">
        <v>44644</v>
      </c>
      <c r="B55" s="4">
        <v>58</v>
      </c>
      <c r="C55" s="4">
        <v>60.3</v>
      </c>
      <c r="D55" s="4">
        <v>57.8</v>
      </c>
      <c r="E55" s="4">
        <v>59.11</v>
      </c>
      <c r="F55" s="4">
        <v>1099.01</v>
      </c>
      <c r="G55" s="4">
        <v>18501200</v>
      </c>
      <c r="H55" s="5">
        <v>6.10896181200984E-3</v>
      </c>
    </row>
    <row r="56" spans="1:8" x14ac:dyDescent="0.25">
      <c r="A56" s="3">
        <v>44645</v>
      </c>
      <c r="B56" s="4">
        <v>59.12</v>
      </c>
      <c r="C56" s="4">
        <v>62.54</v>
      </c>
      <c r="D56" s="4">
        <v>58.75</v>
      </c>
      <c r="E56" s="4">
        <v>59.8</v>
      </c>
      <c r="F56" s="4">
        <v>1160.01</v>
      </c>
      <c r="G56" s="4">
        <v>19073900</v>
      </c>
      <c r="H56" s="5">
        <v>1.160554612030789E-2</v>
      </c>
    </row>
    <row r="57" spans="1:8" x14ac:dyDescent="0.25">
      <c r="A57" s="3">
        <v>44648</v>
      </c>
      <c r="B57" s="4">
        <v>58.91</v>
      </c>
      <c r="C57" s="4">
        <v>60.36</v>
      </c>
      <c r="D57" s="4">
        <v>58.58</v>
      </c>
      <c r="E57" s="4">
        <v>58.86</v>
      </c>
      <c r="F57" s="4">
        <v>512.83000000000004</v>
      </c>
      <c r="G57" s="4">
        <v>8654200</v>
      </c>
      <c r="H57" s="5">
        <v>-1.5843918151259347E-2</v>
      </c>
    </row>
    <row r="58" spans="1:8" x14ac:dyDescent="0.25">
      <c r="A58" s="3">
        <v>44649</v>
      </c>
      <c r="B58" s="4">
        <v>60.99</v>
      </c>
      <c r="C58" s="4">
        <v>61.4</v>
      </c>
      <c r="D58" s="4">
        <v>57.75</v>
      </c>
      <c r="E58" s="4">
        <v>57.86</v>
      </c>
      <c r="F58" s="4">
        <v>1207.44</v>
      </c>
      <c r="G58" s="4">
        <v>20334600</v>
      </c>
      <c r="H58" s="5">
        <v>-1.7135443257337696E-2</v>
      </c>
    </row>
    <row r="59" spans="1:8" x14ac:dyDescent="0.25">
      <c r="A59" s="3">
        <v>44650</v>
      </c>
      <c r="B59" s="4">
        <v>57.8</v>
      </c>
      <c r="C59" s="4">
        <v>58.17</v>
      </c>
      <c r="D59" s="4">
        <v>56.25</v>
      </c>
      <c r="E59" s="4">
        <v>57.35</v>
      </c>
      <c r="F59" s="4">
        <v>1036.92</v>
      </c>
      <c r="G59" s="4">
        <v>18148300</v>
      </c>
      <c r="H59" s="5">
        <v>-8.8534559726093087E-3</v>
      </c>
    </row>
    <row r="60" spans="1:8" x14ac:dyDescent="0.25">
      <c r="A60" s="3">
        <v>44651</v>
      </c>
      <c r="B60" s="4">
        <v>57.03</v>
      </c>
      <c r="C60" s="4">
        <v>57.18</v>
      </c>
      <c r="D60" s="4">
        <v>55.65</v>
      </c>
      <c r="E60" s="4">
        <v>56.29</v>
      </c>
      <c r="F60" s="4">
        <v>603.67999999999995</v>
      </c>
      <c r="G60" s="4">
        <v>10727400</v>
      </c>
      <c r="H60" s="5">
        <v>-1.8655944099444492E-2</v>
      </c>
    </row>
    <row r="61" spans="1:8" x14ac:dyDescent="0.25">
      <c r="A61" s="3">
        <v>44652</v>
      </c>
      <c r="B61" s="4">
        <v>55.95</v>
      </c>
      <c r="C61" s="4">
        <v>56.73</v>
      </c>
      <c r="D61" s="4">
        <v>55.66</v>
      </c>
      <c r="E61" s="4">
        <v>56.49</v>
      </c>
      <c r="F61" s="4">
        <v>492.32</v>
      </c>
      <c r="G61" s="4">
        <v>8740900</v>
      </c>
      <c r="H61" s="5">
        <v>3.5467318612356401E-3</v>
      </c>
    </row>
    <row r="62" spans="1:8" x14ac:dyDescent="0.25">
      <c r="A62" s="3">
        <v>44657</v>
      </c>
      <c r="B62" s="4">
        <v>56.27</v>
      </c>
      <c r="C62" s="4">
        <v>56.3</v>
      </c>
      <c r="D62" s="4">
        <v>52.72</v>
      </c>
      <c r="E62" s="4">
        <v>53.35</v>
      </c>
      <c r="F62" s="4">
        <v>912</v>
      </c>
      <c r="G62" s="4">
        <v>16955900</v>
      </c>
      <c r="H62" s="5">
        <v>-5.7189653589408376E-2</v>
      </c>
    </row>
    <row r="63" spans="1:8" x14ac:dyDescent="0.25">
      <c r="A63" s="3">
        <v>44658</v>
      </c>
      <c r="B63" s="4">
        <v>53.25</v>
      </c>
      <c r="C63" s="4">
        <v>55.68</v>
      </c>
      <c r="D63" s="4">
        <v>53</v>
      </c>
      <c r="E63" s="4">
        <v>54.16</v>
      </c>
      <c r="F63" s="4">
        <v>768.75</v>
      </c>
      <c r="G63" s="4">
        <v>14060000</v>
      </c>
      <c r="H63" s="5">
        <v>1.5068650856256988E-2</v>
      </c>
    </row>
    <row r="64" spans="1:8" x14ac:dyDescent="0.25">
      <c r="A64" s="3">
        <v>44659</v>
      </c>
      <c r="B64" s="4">
        <v>53.95</v>
      </c>
      <c r="C64" s="4">
        <v>54.6</v>
      </c>
      <c r="D64" s="4">
        <v>52.85</v>
      </c>
      <c r="E64" s="4">
        <v>53.38</v>
      </c>
      <c r="F64" s="4">
        <v>499.98</v>
      </c>
      <c r="G64" s="4">
        <v>9311100</v>
      </c>
      <c r="H64" s="5">
        <v>-1.4506484627641314E-2</v>
      </c>
    </row>
    <row r="65" spans="1:8" x14ac:dyDescent="0.25">
      <c r="A65" s="3">
        <v>44662</v>
      </c>
      <c r="B65" s="4">
        <v>53.09</v>
      </c>
      <c r="C65" s="4">
        <v>53.32</v>
      </c>
      <c r="D65" s="4">
        <v>50.99</v>
      </c>
      <c r="E65" s="4">
        <v>51.31</v>
      </c>
      <c r="F65" s="4">
        <v>651.91</v>
      </c>
      <c r="G65" s="4">
        <v>12618900</v>
      </c>
      <c r="H65" s="5">
        <v>-3.9550479022504706E-2</v>
      </c>
    </row>
    <row r="66" spans="1:8" x14ac:dyDescent="0.25">
      <c r="A66" s="3">
        <v>44663</v>
      </c>
      <c r="B66" s="4">
        <v>51.3</v>
      </c>
      <c r="C66" s="4">
        <v>51.4</v>
      </c>
      <c r="D66" s="4">
        <v>49.51</v>
      </c>
      <c r="E66" s="4">
        <v>51.16</v>
      </c>
      <c r="F66" s="4">
        <v>604.70000000000005</v>
      </c>
      <c r="G66" s="4">
        <v>12012700</v>
      </c>
      <c r="H66" s="5">
        <v>-2.9276882432316309E-3</v>
      </c>
    </row>
    <row r="67" spans="1:8" x14ac:dyDescent="0.25">
      <c r="A67" s="3">
        <v>44664</v>
      </c>
      <c r="B67" s="4">
        <v>50.8</v>
      </c>
      <c r="C67" s="4">
        <v>51.19</v>
      </c>
      <c r="D67" s="4">
        <v>50.11</v>
      </c>
      <c r="E67" s="4">
        <v>50.47</v>
      </c>
      <c r="F67" s="4">
        <v>341.02</v>
      </c>
      <c r="G67" s="4">
        <v>6726900</v>
      </c>
      <c r="H67" s="5">
        <v>-1.3578876358470863E-2</v>
      </c>
    </row>
    <row r="68" spans="1:8" x14ac:dyDescent="0.25">
      <c r="A68" s="3">
        <v>44665</v>
      </c>
      <c r="B68" s="4">
        <v>50.3</v>
      </c>
      <c r="C68" s="4">
        <v>52.13</v>
      </c>
      <c r="D68" s="4">
        <v>50.01</v>
      </c>
      <c r="E68" s="4">
        <v>51.79</v>
      </c>
      <c r="F68" s="4">
        <v>471.34</v>
      </c>
      <c r="G68" s="4">
        <v>9197300</v>
      </c>
      <c r="H68" s="5">
        <v>2.5817980083629195E-2</v>
      </c>
    </row>
    <row r="69" spans="1:8" x14ac:dyDescent="0.25">
      <c r="A69" s="3">
        <v>44666</v>
      </c>
      <c r="B69" s="4">
        <v>51.2</v>
      </c>
      <c r="C69" s="4">
        <v>52.98</v>
      </c>
      <c r="D69" s="4">
        <v>50.67</v>
      </c>
      <c r="E69" s="4">
        <v>52.32</v>
      </c>
      <c r="F69" s="4">
        <v>584.78</v>
      </c>
      <c r="G69" s="4">
        <v>11237200</v>
      </c>
      <c r="H69" s="5">
        <v>1.0181626713143283E-2</v>
      </c>
    </row>
    <row r="70" spans="1:8" x14ac:dyDescent="0.25">
      <c r="A70" s="3">
        <v>44669</v>
      </c>
      <c r="B70" s="4">
        <v>51.8</v>
      </c>
      <c r="C70" s="4">
        <v>53.92</v>
      </c>
      <c r="D70" s="4">
        <v>51.68</v>
      </c>
      <c r="E70" s="4">
        <v>53.62</v>
      </c>
      <c r="F70" s="4">
        <v>686.66</v>
      </c>
      <c r="G70" s="4">
        <v>12903200</v>
      </c>
      <c r="H70" s="5">
        <v>2.4543425658869893E-2</v>
      </c>
    </row>
    <row r="71" spans="1:8" x14ac:dyDescent="0.25">
      <c r="A71" s="3">
        <v>44670</v>
      </c>
      <c r="B71" s="4">
        <v>53.3</v>
      </c>
      <c r="C71" s="4">
        <v>54.17</v>
      </c>
      <c r="D71" s="4">
        <v>53.12</v>
      </c>
      <c r="E71" s="4">
        <v>54</v>
      </c>
      <c r="F71" s="4">
        <v>443.26</v>
      </c>
      <c r="G71" s="4">
        <v>8252000</v>
      </c>
      <c r="H71" s="5">
        <v>7.0619137564612924E-3</v>
      </c>
    </row>
    <row r="72" spans="1:8" x14ac:dyDescent="0.25">
      <c r="A72" s="3">
        <v>44671</v>
      </c>
      <c r="B72" s="4">
        <v>53.88</v>
      </c>
      <c r="C72" s="4">
        <v>54.19</v>
      </c>
      <c r="D72" s="4">
        <v>52.81</v>
      </c>
      <c r="E72" s="4">
        <v>53.79</v>
      </c>
      <c r="F72" s="4">
        <v>485.01</v>
      </c>
      <c r="G72" s="4">
        <v>9050400</v>
      </c>
      <c r="H72" s="5">
        <v>-3.8964702791232349E-3</v>
      </c>
    </row>
    <row r="73" spans="1:8" x14ac:dyDescent="0.25">
      <c r="A73" s="3">
        <v>44672</v>
      </c>
      <c r="B73" s="4">
        <v>53.3</v>
      </c>
      <c r="C73" s="4">
        <v>54.57</v>
      </c>
      <c r="D73" s="4">
        <v>51.71</v>
      </c>
      <c r="E73" s="4">
        <v>51.79</v>
      </c>
      <c r="F73" s="4">
        <v>427.71</v>
      </c>
      <c r="G73" s="4">
        <v>8080300</v>
      </c>
      <c r="H73" s="5">
        <v>-3.7890495849351079E-2</v>
      </c>
    </row>
    <row r="74" spans="1:8" x14ac:dyDescent="0.25">
      <c r="A74" s="3">
        <v>44673</v>
      </c>
      <c r="B74" s="4">
        <v>51.63</v>
      </c>
      <c r="C74" s="4">
        <v>51.9</v>
      </c>
      <c r="D74" s="4">
        <v>50.6</v>
      </c>
      <c r="E74" s="4">
        <v>50.7</v>
      </c>
      <c r="F74" s="4">
        <v>359.56</v>
      </c>
      <c r="G74" s="4">
        <v>7036500</v>
      </c>
      <c r="H74" s="5">
        <v>-2.1271169838662573E-2</v>
      </c>
    </row>
    <row r="75" spans="1:8" x14ac:dyDescent="0.25">
      <c r="A75" s="3">
        <v>44676</v>
      </c>
      <c r="B75" s="4">
        <v>50.25</v>
      </c>
      <c r="C75" s="4">
        <v>50.25</v>
      </c>
      <c r="D75" s="4">
        <v>46.97</v>
      </c>
      <c r="E75" s="4">
        <v>47</v>
      </c>
      <c r="F75" s="4">
        <v>552.26</v>
      </c>
      <c r="G75" s="4">
        <v>11424100</v>
      </c>
      <c r="H75" s="5">
        <v>-7.5778308887078941E-2</v>
      </c>
    </row>
    <row r="76" spans="1:8" x14ac:dyDescent="0.25">
      <c r="A76" s="3">
        <v>44677</v>
      </c>
      <c r="B76" s="4">
        <v>47.3</v>
      </c>
      <c r="C76" s="4">
        <v>47.84</v>
      </c>
      <c r="D76" s="4">
        <v>43</v>
      </c>
      <c r="E76" s="4">
        <v>43.52</v>
      </c>
      <c r="F76" s="4">
        <v>618.47</v>
      </c>
      <c r="G76" s="4">
        <v>13784500</v>
      </c>
      <c r="H76" s="5">
        <v>-7.6926999162371376E-2</v>
      </c>
    </row>
    <row r="77" spans="1:8" x14ac:dyDescent="0.25">
      <c r="A77" s="3">
        <v>44678</v>
      </c>
      <c r="B77" s="4">
        <v>43</v>
      </c>
      <c r="C77" s="4">
        <v>47.41</v>
      </c>
      <c r="D77" s="4">
        <v>42.66</v>
      </c>
      <c r="E77" s="4">
        <v>46.98</v>
      </c>
      <c r="F77" s="4">
        <v>778.02</v>
      </c>
      <c r="G77" s="4">
        <v>17148600</v>
      </c>
      <c r="H77" s="5">
        <v>7.6501376683079408E-2</v>
      </c>
    </row>
    <row r="78" spans="1:8" x14ac:dyDescent="0.25">
      <c r="A78" s="3">
        <v>44679</v>
      </c>
      <c r="B78" s="4">
        <v>46.3</v>
      </c>
      <c r="C78" s="4">
        <v>49.1</v>
      </c>
      <c r="D78" s="4">
        <v>46.28</v>
      </c>
      <c r="E78" s="4">
        <v>47.37</v>
      </c>
      <c r="F78" s="4">
        <v>511.05</v>
      </c>
      <c r="G78" s="4">
        <v>10720600</v>
      </c>
      <c r="H78" s="5">
        <v>8.2671377048936026E-3</v>
      </c>
    </row>
    <row r="79" spans="1:8" x14ac:dyDescent="0.25">
      <c r="A79" s="3">
        <v>44680</v>
      </c>
      <c r="B79" s="4">
        <v>47.71</v>
      </c>
      <c r="C79" s="4">
        <v>50.17</v>
      </c>
      <c r="D79" s="4">
        <v>47.3</v>
      </c>
      <c r="E79" s="4">
        <v>49.9</v>
      </c>
      <c r="F79" s="4">
        <v>582.55999999999995</v>
      </c>
      <c r="G79" s="4">
        <v>11914200</v>
      </c>
      <c r="H79" s="5">
        <v>5.2031885821812597E-2</v>
      </c>
    </row>
    <row r="80" spans="1:8" x14ac:dyDescent="0.25">
      <c r="A80" s="3">
        <v>44686</v>
      </c>
      <c r="B80" s="4">
        <v>50.4</v>
      </c>
      <c r="C80" s="4">
        <v>54.19</v>
      </c>
      <c r="D80" s="4">
        <v>50.04</v>
      </c>
      <c r="E80" s="4">
        <v>52.6</v>
      </c>
      <c r="F80" s="4">
        <v>1070.29</v>
      </c>
      <c r="G80" s="4">
        <v>20332900</v>
      </c>
      <c r="H80" s="5">
        <v>5.2695116986191351E-2</v>
      </c>
    </row>
    <row r="81" spans="1:8" x14ac:dyDescent="0.25">
      <c r="A81" s="3">
        <v>44687</v>
      </c>
      <c r="B81" s="4">
        <v>51.13</v>
      </c>
      <c r="C81" s="4">
        <v>54.1</v>
      </c>
      <c r="D81" s="4">
        <v>51.1</v>
      </c>
      <c r="E81" s="4">
        <v>52.8</v>
      </c>
      <c r="F81" s="4">
        <v>742.87</v>
      </c>
      <c r="G81" s="4">
        <v>14100900</v>
      </c>
      <c r="H81" s="5">
        <v>3.7950709685515343E-3</v>
      </c>
    </row>
    <row r="82" spans="1:8" x14ac:dyDescent="0.25">
      <c r="A82" s="3">
        <v>44690</v>
      </c>
      <c r="B82" s="4">
        <v>53.22</v>
      </c>
      <c r="C82" s="4">
        <v>55.19</v>
      </c>
      <c r="D82" s="4">
        <v>52.8</v>
      </c>
      <c r="E82" s="4">
        <v>55.1</v>
      </c>
      <c r="F82" s="4">
        <v>931.39</v>
      </c>
      <c r="G82" s="4">
        <v>17168600</v>
      </c>
      <c r="H82" s="5">
        <v>4.2638525446653135E-2</v>
      </c>
    </row>
    <row r="83" spans="1:8" x14ac:dyDescent="0.25">
      <c r="A83" s="3">
        <v>44691</v>
      </c>
      <c r="B83" s="4">
        <v>54.25</v>
      </c>
      <c r="C83" s="4">
        <v>56.19</v>
      </c>
      <c r="D83" s="4">
        <v>53.8</v>
      </c>
      <c r="E83" s="4">
        <v>55.58</v>
      </c>
      <c r="F83" s="4">
        <v>937.07</v>
      </c>
      <c r="G83" s="4">
        <v>16989500</v>
      </c>
      <c r="H83" s="5">
        <v>8.6737081554887699E-3</v>
      </c>
    </row>
    <row r="84" spans="1:8" x14ac:dyDescent="0.25">
      <c r="A84" s="3">
        <v>44692</v>
      </c>
      <c r="B84" s="4">
        <v>55.9</v>
      </c>
      <c r="C84" s="4">
        <v>56.5</v>
      </c>
      <c r="D84" s="4">
        <v>54.11</v>
      </c>
      <c r="E84" s="4">
        <v>54.62</v>
      </c>
      <c r="F84" s="4">
        <v>1067.6400000000001</v>
      </c>
      <c r="G84" s="4">
        <v>19298200</v>
      </c>
      <c r="H84" s="5">
        <v>-1.7423308268798759E-2</v>
      </c>
    </row>
    <row r="85" spans="1:8" x14ac:dyDescent="0.25">
      <c r="A85" s="3">
        <v>44693</v>
      </c>
      <c r="B85" s="4">
        <v>54.08</v>
      </c>
      <c r="C85" s="4">
        <v>55.93</v>
      </c>
      <c r="D85" s="4">
        <v>54.08</v>
      </c>
      <c r="E85" s="4">
        <v>55.71</v>
      </c>
      <c r="F85" s="4">
        <v>694.75</v>
      </c>
      <c r="G85" s="4">
        <v>12595600</v>
      </c>
      <c r="H85" s="5">
        <v>1.9759547987165272E-2</v>
      </c>
    </row>
    <row r="86" spans="1:8" x14ac:dyDescent="0.25">
      <c r="A86" s="3">
        <v>44694</v>
      </c>
      <c r="B86" s="4">
        <v>55.71</v>
      </c>
      <c r="C86" s="4">
        <v>55.94</v>
      </c>
      <c r="D86" s="4">
        <v>54.81</v>
      </c>
      <c r="E86" s="4">
        <v>55.1</v>
      </c>
      <c r="F86" s="4">
        <v>373.43</v>
      </c>
      <c r="G86" s="4">
        <v>6774600</v>
      </c>
      <c r="H86" s="5">
        <v>-1.1009947873855289E-2</v>
      </c>
    </row>
    <row r="87" spans="1:8" x14ac:dyDescent="0.25">
      <c r="A87" s="3">
        <v>44697</v>
      </c>
      <c r="B87" s="4">
        <v>56.01</v>
      </c>
      <c r="C87" s="4">
        <v>56.32</v>
      </c>
      <c r="D87" s="4">
        <v>54.37</v>
      </c>
      <c r="E87" s="4">
        <v>54.46</v>
      </c>
      <c r="F87" s="4">
        <v>397.04</v>
      </c>
      <c r="G87" s="4">
        <v>7202800</v>
      </c>
      <c r="H87" s="5">
        <v>-1.1683228913255258E-2</v>
      </c>
    </row>
    <row r="88" spans="1:8" x14ac:dyDescent="0.25">
      <c r="A88" s="3">
        <v>44698</v>
      </c>
      <c r="B88" s="4">
        <v>54.46</v>
      </c>
      <c r="C88" s="4">
        <v>55.45</v>
      </c>
      <c r="D88" s="4">
        <v>53.92</v>
      </c>
      <c r="E88" s="4">
        <v>54.98</v>
      </c>
      <c r="F88" s="4">
        <v>373.65</v>
      </c>
      <c r="G88" s="4">
        <v>6812800</v>
      </c>
      <c r="H88" s="5">
        <v>9.5029954914861142E-3</v>
      </c>
    </row>
    <row r="89" spans="1:8" x14ac:dyDescent="0.25">
      <c r="A89" s="3">
        <v>44699</v>
      </c>
      <c r="B89" s="4">
        <v>55.2</v>
      </c>
      <c r="C89" s="4">
        <v>55.58</v>
      </c>
      <c r="D89" s="4">
        <v>54.33</v>
      </c>
      <c r="E89" s="4">
        <v>54.7</v>
      </c>
      <c r="F89" s="4">
        <v>390.27</v>
      </c>
      <c r="G89" s="4">
        <v>7107500</v>
      </c>
      <c r="H89" s="5">
        <v>-5.105773309164033E-3</v>
      </c>
    </row>
    <row r="90" spans="1:8" x14ac:dyDescent="0.25">
      <c r="A90" s="3">
        <v>44700</v>
      </c>
      <c r="B90" s="4">
        <v>54.01</v>
      </c>
      <c r="C90" s="4">
        <v>55.1</v>
      </c>
      <c r="D90" s="4">
        <v>53.53</v>
      </c>
      <c r="E90" s="4">
        <v>54.75</v>
      </c>
      <c r="F90" s="4">
        <v>607.66999999999996</v>
      </c>
      <c r="G90" s="4">
        <v>11211100</v>
      </c>
      <c r="H90" s="5">
        <v>9.1365926867454544E-4</v>
      </c>
    </row>
    <row r="91" spans="1:8" x14ac:dyDescent="0.25">
      <c r="A91" s="3">
        <v>44701</v>
      </c>
      <c r="B91" s="4">
        <v>54.75</v>
      </c>
      <c r="C91" s="4">
        <v>55.88</v>
      </c>
      <c r="D91" s="4">
        <v>54.55</v>
      </c>
      <c r="E91" s="4">
        <v>55.33</v>
      </c>
      <c r="F91" s="4">
        <v>475.9</v>
      </c>
      <c r="G91" s="4">
        <v>8626400</v>
      </c>
      <c r="H91" s="5">
        <v>1.0537888213408167E-2</v>
      </c>
    </row>
    <row r="92" spans="1:8" x14ac:dyDescent="0.25">
      <c r="A92" s="3">
        <v>44704</v>
      </c>
      <c r="B92" s="4">
        <v>55</v>
      </c>
      <c r="C92" s="4">
        <v>55.48</v>
      </c>
      <c r="D92" s="4">
        <v>53.79</v>
      </c>
      <c r="E92" s="4">
        <v>55.3</v>
      </c>
      <c r="F92" s="4">
        <v>566.03</v>
      </c>
      <c r="G92" s="4">
        <v>10393900</v>
      </c>
      <c r="H92" s="5">
        <v>-5.4234838172929434E-4</v>
      </c>
    </row>
    <row r="93" spans="1:8" x14ac:dyDescent="0.25">
      <c r="A93" s="3">
        <v>44705</v>
      </c>
      <c r="B93" s="4">
        <v>55.3</v>
      </c>
      <c r="C93" s="4">
        <v>56.87</v>
      </c>
      <c r="D93" s="4">
        <v>52.44</v>
      </c>
      <c r="E93" s="4">
        <v>52.44</v>
      </c>
      <c r="F93" s="4">
        <v>1111.99</v>
      </c>
      <c r="G93" s="4">
        <v>20380400</v>
      </c>
      <c r="H93" s="5">
        <v>-5.3103249632790027E-2</v>
      </c>
    </row>
    <row r="94" spans="1:8" x14ac:dyDescent="0.25">
      <c r="A94" s="3">
        <v>44706</v>
      </c>
      <c r="B94" s="4">
        <v>52.27</v>
      </c>
      <c r="C94" s="4">
        <v>54.05</v>
      </c>
      <c r="D94" s="4">
        <v>52.01</v>
      </c>
      <c r="E94" s="4">
        <v>53.4</v>
      </c>
      <c r="F94" s="4">
        <v>584.61</v>
      </c>
      <c r="G94" s="4">
        <v>10969100</v>
      </c>
      <c r="H94" s="5">
        <v>1.8141087070650003E-2</v>
      </c>
    </row>
    <row r="95" spans="1:8" x14ac:dyDescent="0.25">
      <c r="A95" s="3">
        <v>44707</v>
      </c>
      <c r="B95" s="4">
        <v>52.98</v>
      </c>
      <c r="C95" s="4">
        <v>55.41</v>
      </c>
      <c r="D95" s="4">
        <v>52.98</v>
      </c>
      <c r="E95" s="4">
        <v>54.18</v>
      </c>
      <c r="F95" s="4">
        <v>850.23</v>
      </c>
      <c r="G95" s="4">
        <v>15616200</v>
      </c>
      <c r="H95" s="5">
        <v>1.4501090690799955E-2</v>
      </c>
    </row>
    <row r="96" spans="1:8" x14ac:dyDescent="0.25">
      <c r="A96" s="3">
        <v>44708</v>
      </c>
      <c r="B96" s="4">
        <v>54.73</v>
      </c>
      <c r="C96" s="4">
        <v>55.26</v>
      </c>
      <c r="D96" s="4">
        <v>53.9</v>
      </c>
      <c r="E96" s="4">
        <v>54.11</v>
      </c>
      <c r="F96" s="4">
        <v>619.66</v>
      </c>
      <c r="G96" s="4">
        <v>11349500</v>
      </c>
      <c r="H96" s="5">
        <v>-1.2928250023051934E-3</v>
      </c>
    </row>
    <row r="97" spans="1:8" x14ac:dyDescent="0.25">
      <c r="A97" s="3">
        <v>44711</v>
      </c>
      <c r="B97" s="4">
        <v>54.2</v>
      </c>
      <c r="C97" s="4">
        <v>55.2</v>
      </c>
      <c r="D97" s="4">
        <v>53.9</v>
      </c>
      <c r="E97" s="4">
        <v>55.06</v>
      </c>
      <c r="F97" s="4">
        <v>469.12</v>
      </c>
      <c r="G97" s="4">
        <v>8584600</v>
      </c>
      <c r="H97" s="5">
        <v>1.7404488059817338E-2</v>
      </c>
    </row>
    <row r="98" spans="1:8" x14ac:dyDescent="0.25">
      <c r="A98" s="3">
        <v>44712</v>
      </c>
      <c r="B98" s="4">
        <v>55.06</v>
      </c>
      <c r="C98" s="4">
        <v>56.1</v>
      </c>
      <c r="D98" s="4">
        <v>54.7</v>
      </c>
      <c r="E98" s="4">
        <v>55.87</v>
      </c>
      <c r="F98" s="4">
        <v>625.97</v>
      </c>
      <c r="G98" s="4">
        <v>11264200</v>
      </c>
      <c r="H98" s="5">
        <v>1.4604063756596116E-2</v>
      </c>
    </row>
    <row r="99" spans="1:8" x14ac:dyDescent="0.25">
      <c r="A99" s="3">
        <v>44713</v>
      </c>
      <c r="B99" s="4">
        <v>55.6</v>
      </c>
      <c r="C99" s="4">
        <v>58.12</v>
      </c>
      <c r="D99" s="4">
        <v>55.31</v>
      </c>
      <c r="E99" s="4">
        <v>57</v>
      </c>
      <c r="F99" s="4">
        <v>947.26</v>
      </c>
      <c r="G99" s="4">
        <v>16568500</v>
      </c>
      <c r="H99" s="5">
        <v>2.0023704363492795E-2</v>
      </c>
    </row>
    <row r="100" spans="1:8" x14ac:dyDescent="0.25">
      <c r="A100" s="3">
        <v>44714</v>
      </c>
      <c r="B100" s="4">
        <v>56.8</v>
      </c>
      <c r="C100" s="4">
        <v>57.79</v>
      </c>
      <c r="D100" s="4">
        <v>56.17</v>
      </c>
      <c r="E100" s="4">
        <v>57.23</v>
      </c>
      <c r="F100" s="4">
        <v>548.80999999999995</v>
      </c>
      <c r="G100" s="4">
        <v>9623800</v>
      </c>
      <c r="H100" s="5">
        <v>4.0269685864607876E-3</v>
      </c>
    </row>
    <row r="101" spans="1:8" x14ac:dyDescent="0.25">
      <c r="A101" s="3">
        <v>44718</v>
      </c>
      <c r="B101" s="4">
        <v>57.24</v>
      </c>
      <c r="C101" s="4">
        <v>58.07</v>
      </c>
      <c r="D101" s="4">
        <v>56.24</v>
      </c>
      <c r="E101" s="4">
        <v>57.92</v>
      </c>
      <c r="F101" s="4">
        <v>665.15</v>
      </c>
      <c r="G101" s="4">
        <v>11602400</v>
      </c>
      <c r="H101" s="5">
        <v>1.1984511656450087E-2</v>
      </c>
    </row>
    <row r="102" spans="1:8" x14ac:dyDescent="0.25">
      <c r="A102" s="3">
        <v>44719</v>
      </c>
      <c r="B102" s="4">
        <v>57.6</v>
      </c>
      <c r="C102" s="4">
        <v>59.26</v>
      </c>
      <c r="D102" s="4">
        <v>57.6</v>
      </c>
      <c r="E102" s="4">
        <v>58.56</v>
      </c>
      <c r="F102" s="4">
        <v>770.51</v>
      </c>
      <c r="G102" s="4">
        <v>13172800</v>
      </c>
      <c r="H102" s="5">
        <v>1.0989121575595165E-2</v>
      </c>
    </row>
    <row r="103" spans="1:8" x14ac:dyDescent="0.25">
      <c r="A103" s="3">
        <v>44720</v>
      </c>
      <c r="B103" s="4">
        <v>58.2</v>
      </c>
      <c r="C103" s="4">
        <v>58.48</v>
      </c>
      <c r="D103" s="4">
        <v>55.78</v>
      </c>
      <c r="E103" s="4">
        <v>56.95</v>
      </c>
      <c r="F103" s="4">
        <v>1007.84</v>
      </c>
      <c r="G103" s="4">
        <v>17716500</v>
      </c>
      <c r="H103" s="5">
        <v>-2.7878179759864983E-2</v>
      </c>
    </row>
    <row r="104" spans="1:8" x14ac:dyDescent="0.25">
      <c r="A104" s="3">
        <v>44721</v>
      </c>
      <c r="B104" s="4">
        <v>56.95</v>
      </c>
      <c r="C104" s="4">
        <v>57.24</v>
      </c>
      <c r="D104" s="4">
        <v>55.55</v>
      </c>
      <c r="E104" s="4">
        <v>55.91</v>
      </c>
      <c r="F104" s="4">
        <v>636.02</v>
      </c>
      <c r="G104" s="4">
        <v>11306200</v>
      </c>
      <c r="H104" s="5">
        <v>-1.8430434854637277E-2</v>
      </c>
    </row>
    <row r="105" spans="1:8" x14ac:dyDescent="0.25">
      <c r="A105" s="3">
        <v>44722</v>
      </c>
      <c r="B105" s="4">
        <v>56.07</v>
      </c>
      <c r="C105" s="4">
        <v>58.5</v>
      </c>
      <c r="D105" s="4">
        <v>56.05</v>
      </c>
      <c r="E105" s="4">
        <v>58.42</v>
      </c>
      <c r="F105" s="4">
        <v>998.94</v>
      </c>
      <c r="G105" s="4">
        <v>17251500</v>
      </c>
      <c r="H105" s="5">
        <v>4.3915041921041016E-2</v>
      </c>
    </row>
    <row r="106" spans="1:8" x14ac:dyDescent="0.25">
      <c r="A106" s="3">
        <v>44725</v>
      </c>
      <c r="B106" s="4">
        <v>58.75</v>
      </c>
      <c r="C106" s="4">
        <v>59.55</v>
      </c>
      <c r="D106" s="4">
        <v>57.09</v>
      </c>
      <c r="E106" s="4">
        <v>59.16</v>
      </c>
      <c r="F106" s="4">
        <v>1051.57</v>
      </c>
      <c r="G106" s="4">
        <v>17956600</v>
      </c>
      <c r="H106" s="5">
        <v>1.2587340883004141E-2</v>
      </c>
    </row>
    <row r="107" spans="1:8" x14ac:dyDescent="0.25">
      <c r="A107" s="3">
        <v>44726</v>
      </c>
      <c r="B107" s="4">
        <v>57.8</v>
      </c>
      <c r="C107" s="4">
        <v>58.45</v>
      </c>
      <c r="D107" s="4">
        <v>56.35</v>
      </c>
      <c r="E107" s="4">
        <v>57.42</v>
      </c>
      <c r="F107" s="4">
        <v>728.45</v>
      </c>
      <c r="G107" s="4">
        <v>12735400</v>
      </c>
      <c r="H107" s="5">
        <v>-2.9852963149681045E-2</v>
      </c>
    </row>
    <row r="108" spans="1:8" x14ac:dyDescent="0.25">
      <c r="A108" s="3">
        <v>44727</v>
      </c>
      <c r="B108" s="4">
        <v>57.48</v>
      </c>
      <c r="C108" s="4">
        <v>58.41</v>
      </c>
      <c r="D108" s="4">
        <v>57.18</v>
      </c>
      <c r="E108" s="4">
        <v>57.42</v>
      </c>
      <c r="F108" s="4">
        <v>604.42999999999995</v>
      </c>
      <c r="G108" s="4">
        <v>10445400</v>
      </c>
      <c r="H108" s="5">
        <v>0</v>
      </c>
    </row>
    <row r="109" spans="1:8" x14ac:dyDescent="0.25">
      <c r="A109" s="3">
        <v>44728</v>
      </c>
      <c r="B109" s="4">
        <v>57.42</v>
      </c>
      <c r="C109" s="4">
        <v>58.31</v>
      </c>
      <c r="D109" s="4">
        <v>56.6</v>
      </c>
      <c r="E109" s="4">
        <v>57.02</v>
      </c>
      <c r="F109" s="4">
        <v>470.54</v>
      </c>
      <c r="G109" s="4">
        <v>8189600</v>
      </c>
      <c r="H109" s="5">
        <v>-6.9905912083918983E-3</v>
      </c>
    </row>
    <row r="110" spans="1:8" x14ac:dyDescent="0.25">
      <c r="A110" s="3">
        <v>44729</v>
      </c>
      <c r="B110" s="4">
        <v>56.77</v>
      </c>
      <c r="C110" s="4">
        <v>57.29</v>
      </c>
      <c r="D110" s="4">
        <v>55.87</v>
      </c>
      <c r="E110" s="4">
        <v>56.93</v>
      </c>
      <c r="F110" s="4">
        <v>644.92999999999995</v>
      </c>
      <c r="G110" s="4">
        <v>11413800</v>
      </c>
      <c r="H110" s="5">
        <v>-1.5796405215354656E-3</v>
      </c>
    </row>
    <row r="111" spans="1:8" x14ac:dyDescent="0.25">
      <c r="A111" s="3">
        <v>44732</v>
      </c>
      <c r="B111" s="4">
        <v>57.3</v>
      </c>
      <c r="C111" s="4">
        <v>58.5</v>
      </c>
      <c r="D111" s="4">
        <v>56.63</v>
      </c>
      <c r="E111" s="4">
        <v>57.68</v>
      </c>
      <c r="F111" s="4">
        <v>644.53</v>
      </c>
      <c r="G111" s="4">
        <v>11150900</v>
      </c>
      <c r="H111" s="5">
        <v>1.3088050013703204E-2</v>
      </c>
    </row>
    <row r="112" spans="1:8" x14ac:dyDescent="0.25">
      <c r="A112" s="3">
        <v>44733</v>
      </c>
      <c r="B112" s="4">
        <v>58</v>
      </c>
      <c r="C112" s="4">
        <v>58</v>
      </c>
      <c r="D112" s="4">
        <v>56.06</v>
      </c>
      <c r="E112" s="4">
        <v>56.42</v>
      </c>
      <c r="F112" s="4">
        <v>522.57000000000005</v>
      </c>
      <c r="G112" s="4">
        <v>9213500</v>
      </c>
      <c r="H112" s="5">
        <v>-2.2086787402843398E-2</v>
      </c>
    </row>
    <row r="113" spans="1:8" x14ac:dyDescent="0.25">
      <c r="A113" s="3">
        <v>44734</v>
      </c>
      <c r="B113" s="4">
        <v>56.42</v>
      </c>
      <c r="C113" s="4">
        <v>56.88</v>
      </c>
      <c r="D113" s="4">
        <v>55.32</v>
      </c>
      <c r="E113" s="4">
        <v>55.37</v>
      </c>
      <c r="F113" s="4">
        <v>430.37</v>
      </c>
      <c r="G113" s="4">
        <v>7680200</v>
      </c>
      <c r="H113" s="5">
        <v>-1.8785774738974539E-2</v>
      </c>
    </row>
    <row r="114" spans="1:8" x14ac:dyDescent="0.25">
      <c r="A114" s="3">
        <v>44735</v>
      </c>
      <c r="B114" s="4">
        <v>55.17</v>
      </c>
      <c r="C114" s="4">
        <v>59.1</v>
      </c>
      <c r="D114" s="4">
        <v>55.03</v>
      </c>
      <c r="E114" s="4">
        <v>58.98</v>
      </c>
      <c r="F114" s="4">
        <v>1345.17</v>
      </c>
      <c r="G114" s="4">
        <v>23316600</v>
      </c>
      <c r="H114" s="5">
        <v>6.3160472552254376E-2</v>
      </c>
    </row>
    <row r="115" spans="1:8" x14ac:dyDescent="0.25">
      <c r="A115" s="3">
        <v>44736</v>
      </c>
      <c r="B115" s="4">
        <v>59.2</v>
      </c>
      <c r="C115" s="4">
        <v>60.98</v>
      </c>
      <c r="D115" s="4">
        <v>59.2</v>
      </c>
      <c r="E115" s="4">
        <v>59.48</v>
      </c>
      <c r="F115" s="4">
        <v>1310.3499999999999</v>
      </c>
      <c r="G115" s="4">
        <v>21821200</v>
      </c>
      <c r="H115" s="5">
        <v>8.441718204824155E-3</v>
      </c>
    </row>
    <row r="116" spans="1:8" x14ac:dyDescent="0.25">
      <c r="A116" s="3">
        <v>44739</v>
      </c>
      <c r="B116" s="4">
        <v>60</v>
      </c>
      <c r="C116" s="4">
        <v>60</v>
      </c>
      <c r="D116" s="4">
        <v>58.58</v>
      </c>
      <c r="E116" s="4">
        <v>59</v>
      </c>
      <c r="F116" s="4">
        <v>836.04</v>
      </c>
      <c r="G116" s="4">
        <v>14137400</v>
      </c>
      <c r="H116" s="5">
        <v>-8.1026776862348077E-3</v>
      </c>
    </row>
    <row r="117" spans="1:8" x14ac:dyDescent="0.25">
      <c r="A117" s="3">
        <v>44740</v>
      </c>
      <c r="B117" s="4">
        <v>59.03</v>
      </c>
      <c r="C117" s="4">
        <v>61.22</v>
      </c>
      <c r="D117" s="4">
        <v>59.03</v>
      </c>
      <c r="E117" s="4">
        <v>60.75</v>
      </c>
      <c r="F117" s="4">
        <v>1392.91</v>
      </c>
      <c r="G117" s="4">
        <v>22992900</v>
      </c>
      <c r="H117" s="5">
        <v>2.922963831493831E-2</v>
      </c>
    </row>
    <row r="118" spans="1:8" x14ac:dyDescent="0.25">
      <c r="A118" s="3">
        <v>44741</v>
      </c>
      <c r="B118" s="4">
        <v>60.28</v>
      </c>
      <c r="C118" s="4">
        <v>59.38</v>
      </c>
      <c r="D118" s="4">
        <v>59.36</v>
      </c>
      <c r="E118" s="4">
        <v>59.38</v>
      </c>
      <c r="F118" s="4">
        <v>0</v>
      </c>
      <c r="G118" s="4">
        <v>12038700</v>
      </c>
      <c r="H118" s="5">
        <v>-2.2809612885044062E-2</v>
      </c>
    </row>
    <row r="119" spans="1:8" x14ac:dyDescent="0.25">
      <c r="A119" s="3">
        <v>44742</v>
      </c>
      <c r="B119" s="4">
        <v>59.51</v>
      </c>
      <c r="C119" s="4">
        <v>61.1</v>
      </c>
      <c r="D119" s="4">
        <v>58.84</v>
      </c>
      <c r="E119" s="4">
        <v>60.45</v>
      </c>
      <c r="F119" s="4">
        <v>813.61</v>
      </c>
      <c r="G119" s="4">
        <v>13501000</v>
      </c>
      <c r="H119" s="5">
        <v>1.7859107725187926E-2</v>
      </c>
    </row>
    <row r="120" spans="1:8" x14ac:dyDescent="0.25">
      <c r="A120" s="3">
        <v>44743</v>
      </c>
      <c r="B120" s="4">
        <v>60.45</v>
      </c>
      <c r="C120" s="4">
        <v>62.8</v>
      </c>
      <c r="D120" s="4">
        <v>60.45</v>
      </c>
      <c r="E120" s="4">
        <v>61.68</v>
      </c>
      <c r="F120" s="4">
        <v>1037.45</v>
      </c>
      <c r="G120" s="4">
        <v>16803000</v>
      </c>
      <c r="H120" s="5">
        <v>2.0143152194272363E-2</v>
      </c>
    </row>
    <row r="121" spans="1:8" x14ac:dyDescent="0.25">
      <c r="A121" s="3">
        <v>44746</v>
      </c>
      <c r="B121" s="4">
        <v>61.97</v>
      </c>
      <c r="C121" s="4">
        <v>63.98</v>
      </c>
      <c r="D121" s="4">
        <v>61</v>
      </c>
      <c r="E121" s="4">
        <v>63.41</v>
      </c>
      <c r="F121" s="4">
        <v>1202.71</v>
      </c>
      <c r="G121" s="4">
        <v>19038400</v>
      </c>
      <c r="H121" s="5">
        <v>2.7661848456866107E-2</v>
      </c>
    </row>
    <row r="122" spans="1:8" x14ac:dyDescent="0.25">
      <c r="A122" s="3">
        <v>44747</v>
      </c>
      <c r="B122" s="4">
        <v>63.01</v>
      </c>
      <c r="C122" s="4">
        <v>63.38</v>
      </c>
      <c r="D122" s="4">
        <v>60.68</v>
      </c>
      <c r="E122" s="4">
        <v>62</v>
      </c>
      <c r="F122" s="4">
        <v>1032.75</v>
      </c>
      <c r="G122" s="4">
        <v>16719200</v>
      </c>
      <c r="H122" s="5">
        <v>-2.2487192666848621E-2</v>
      </c>
    </row>
    <row r="123" spans="1:8" x14ac:dyDescent="0.25">
      <c r="A123" s="3">
        <v>44748</v>
      </c>
      <c r="B123" s="4">
        <v>61.37</v>
      </c>
      <c r="C123" s="4">
        <v>62.3</v>
      </c>
      <c r="D123" s="4">
        <v>60.36</v>
      </c>
      <c r="E123" s="4">
        <v>61.48</v>
      </c>
      <c r="F123" s="4">
        <v>823.21</v>
      </c>
      <c r="G123" s="4">
        <v>13413900</v>
      </c>
      <c r="H123" s="5">
        <v>-8.4224663746964752E-3</v>
      </c>
    </row>
    <row r="124" spans="1:8" x14ac:dyDescent="0.25">
      <c r="A124" s="3">
        <v>44749</v>
      </c>
      <c r="B124" s="4">
        <v>61.15</v>
      </c>
      <c r="C124" s="4">
        <v>62.66</v>
      </c>
      <c r="D124" s="4">
        <v>61.15</v>
      </c>
      <c r="E124" s="4">
        <v>61.77</v>
      </c>
      <c r="F124" s="4">
        <v>806.38</v>
      </c>
      <c r="G124" s="4">
        <v>13015200</v>
      </c>
      <c r="H124" s="5">
        <v>4.7058910374127138E-3</v>
      </c>
    </row>
    <row r="125" spans="1:8" x14ac:dyDescent="0.25">
      <c r="A125" s="3">
        <v>44750</v>
      </c>
      <c r="B125" s="4">
        <v>61.5</v>
      </c>
      <c r="C125" s="4">
        <v>62.47</v>
      </c>
      <c r="D125" s="4">
        <v>60.51</v>
      </c>
      <c r="E125" s="4">
        <v>61.36</v>
      </c>
      <c r="F125" s="4">
        <v>596.83000000000004</v>
      </c>
      <c r="G125" s="4">
        <v>9725200</v>
      </c>
      <c r="H125" s="5">
        <v>-6.6596526488071177E-3</v>
      </c>
    </row>
    <row r="126" spans="1:8" x14ac:dyDescent="0.25">
      <c r="A126" s="3">
        <v>44753</v>
      </c>
      <c r="B126" s="4">
        <v>61.25</v>
      </c>
      <c r="C126" s="4">
        <v>61.25</v>
      </c>
      <c r="D126" s="4">
        <v>59.5</v>
      </c>
      <c r="E126" s="4">
        <v>60.38</v>
      </c>
      <c r="F126" s="4">
        <v>626.72</v>
      </c>
      <c r="G126" s="4">
        <v>10428900</v>
      </c>
      <c r="H126" s="5">
        <v>-1.6100232780307953E-2</v>
      </c>
    </row>
    <row r="127" spans="1:8" x14ac:dyDescent="0.25">
      <c r="A127" s="3">
        <v>44754</v>
      </c>
      <c r="B127" s="4">
        <v>60.37</v>
      </c>
      <c r="C127" s="4">
        <v>62.34</v>
      </c>
      <c r="D127" s="4">
        <v>59.9</v>
      </c>
      <c r="E127" s="4">
        <v>59.92</v>
      </c>
      <c r="F127" s="4">
        <v>724.77</v>
      </c>
      <c r="G127" s="4">
        <v>11889300</v>
      </c>
      <c r="H127" s="5">
        <v>-7.6475850697287377E-3</v>
      </c>
    </row>
    <row r="128" spans="1:8" x14ac:dyDescent="0.25">
      <c r="A128" s="3">
        <v>44755</v>
      </c>
      <c r="B128" s="4">
        <v>59.38</v>
      </c>
      <c r="C128" s="4">
        <v>59.81</v>
      </c>
      <c r="D128" s="4">
        <v>58.18</v>
      </c>
      <c r="E128" s="4">
        <v>58.5</v>
      </c>
      <c r="F128" s="4">
        <v>686.47</v>
      </c>
      <c r="G128" s="4">
        <v>11685900</v>
      </c>
      <c r="H128" s="5">
        <v>-2.3983584971153292E-2</v>
      </c>
    </row>
    <row r="129" spans="1:8" x14ac:dyDescent="0.25">
      <c r="A129" s="3">
        <v>44756</v>
      </c>
      <c r="B129" s="4">
        <v>58.73</v>
      </c>
      <c r="C129" s="4">
        <v>60.21</v>
      </c>
      <c r="D129" s="4">
        <v>58.51</v>
      </c>
      <c r="E129" s="4">
        <v>59.51</v>
      </c>
      <c r="F129" s="4">
        <v>550.9</v>
      </c>
      <c r="G129" s="4">
        <v>9250400</v>
      </c>
      <c r="H129" s="5">
        <v>1.7117611418949873E-2</v>
      </c>
    </row>
    <row r="130" spans="1:8" x14ac:dyDescent="0.25">
      <c r="A130" s="3">
        <v>44757</v>
      </c>
      <c r="B130" s="4">
        <v>59.34</v>
      </c>
      <c r="C130" s="4">
        <v>60.25</v>
      </c>
      <c r="D130" s="4">
        <v>58.36</v>
      </c>
      <c r="E130" s="4">
        <v>58.47</v>
      </c>
      <c r="F130" s="4">
        <v>545.4</v>
      </c>
      <c r="G130" s="4">
        <v>9233700</v>
      </c>
      <c r="H130" s="5">
        <v>-1.7630563469181595E-2</v>
      </c>
    </row>
    <row r="131" spans="1:8" x14ac:dyDescent="0.25">
      <c r="A131" s="3">
        <v>44760</v>
      </c>
      <c r="B131" s="4">
        <v>58.35</v>
      </c>
      <c r="C131" s="4">
        <v>58.65</v>
      </c>
      <c r="D131" s="4">
        <v>56.43</v>
      </c>
      <c r="E131" s="4">
        <v>57.49</v>
      </c>
      <c r="F131" s="4">
        <v>827.48</v>
      </c>
      <c r="G131" s="4">
        <v>14494200</v>
      </c>
      <c r="H131" s="5">
        <v>-1.6902782552379526E-2</v>
      </c>
    </row>
    <row r="132" spans="1:8" x14ac:dyDescent="0.25">
      <c r="A132" s="3">
        <v>44761</v>
      </c>
      <c r="B132" s="4">
        <v>57.62</v>
      </c>
      <c r="C132" s="4">
        <v>58.08</v>
      </c>
      <c r="D132" s="4">
        <v>56.81</v>
      </c>
      <c r="E132" s="4">
        <v>57.82</v>
      </c>
      <c r="F132" s="4">
        <v>597.39</v>
      </c>
      <c r="G132" s="4">
        <v>10401700</v>
      </c>
      <c r="H132" s="5">
        <v>5.723716953000401E-3</v>
      </c>
    </row>
    <row r="133" spans="1:8" x14ac:dyDescent="0.25">
      <c r="A133" s="3">
        <v>44762</v>
      </c>
      <c r="B133" s="4">
        <v>57.89</v>
      </c>
      <c r="C133" s="4">
        <v>59.89</v>
      </c>
      <c r="D133" s="4">
        <v>57.89</v>
      </c>
      <c r="E133" s="4">
        <v>59.87</v>
      </c>
      <c r="F133" s="4">
        <v>1103.25</v>
      </c>
      <c r="G133" s="4">
        <v>18685500</v>
      </c>
      <c r="H133" s="5">
        <v>3.4840808349060649E-2</v>
      </c>
    </row>
    <row r="134" spans="1:8" x14ac:dyDescent="0.25">
      <c r="A134" s="3">
        <v>44763</v>
      </c>
      <c r="B134" s="4">
        <v>59.75</v>
      </c>
      <c r="C134" s="4">
        <v>59.75</v>
      </c>
      <c r="D134" s="4">
        <v>57.54</v>
      </c>
      <c r="E134" s="4">
        <v>57.56</v>
      </c>
      <c r="F134" s="4">
        <v>1003.88</v>
      </c>
      <c r="G134" s="4">
        <v>17261500</v>
      </c>
      <c r="H134" s="5">
        <v>-3.9347662918093537E-2</v>
      </c>
    </row>
    <row r="135" spans="1:8" x14ac:dyDescent="0.25">
      <c r="A135" s="3">
        <v>44764</v>
      </c>
      <c r="B135" s="4">
        <v>57.77</v>
      </c>
      <c r="C135" s="4">
        <v>58.26</v>
      </c>
      <c r="D135" s="4">
        <v>56.57</v>
      </c>
      <c r="E135" s="4">
        <v>57.41</v>
      </c>
      <c r="F135" s="4">
        <v>517.22</v>
      </c>
      <c r="G135" s="4">
        <v>9040200</v>
      </c>
      <c r="H135" s="5">
        <v>-2.609377839621682E-3</v>
      </c>
    </row>
    <row r="136" spans="1:8" x14ac:dyDescent="0.25">
      <c r="A136" s="3">
        <v>44767</v>
      </c>
      <c r="B136" s="4">
        <v>58.5</v>
      </c>
      <c r="C136" s="4">
        <v>59.1</v>
      </c>
      <c r="D136" s="4">
        <v>57.42</v>
      </c>
      <c r="E136" s="4">
        <v>57.7</v>
      </c>
      <c r="F136" s="4">
        <v>583.07000000000005</v>
      </c>
      <c r="G136" s="4">
        <v>10029800</v>
      </c>
      <c r="H136" s="5">
        <v>5.038669334508545E-3</v>
      </c>
    </row>
    <row r="137" spans="1:8" x14ac:dyDescent="0.25">
      <c r="A137" s="3">
        <v>44768</v>
      </c>
      <c r="B137" s="4">
        <v>57.95</v>
      </c>
      <c r="C137" s="4">
        <v>59.17</v>
      </c>
      <c r="D137" s="4">
        <v>57.28</v>
      </c>
      <c r="E137" s="4">
        <v>58.88</v>
      </c>
      <c r="F137" s="4">
        <v>758.23</v>
      </c>
      <c r="G137" s="4">
        <v>12929000</v>
      </c>
      <c r="H137" s="5">
        <v>2.0244300906566925E-2</v>
      </c>
    </row>
    <row r="138" spans="1:8" x14ac:dyDescent="0.25">
      <c r="A138" s="3">
        <v>44769</v>
      </c>
      <c r="B138" s="4">
        <v>58.6</v>
      </c>
      <c r="C138" s="4">
        <v>62.12</v>
      </c>
      <c r="D138" s="4">
        <v>58.6</v>
      </c>
      <c r="E138" s="4">
        <v>61.06</v>
      </c>
      <c r="F138" s="4">
        <v>1522.75</v>
      </c>
      <c r="G138" s="4">
        <v>25000400</v>
      </c>
      <c r="H138" s="5">
        <v>3.6355512886110886E-2</v>
      </c>
    </row>
    <row r="139" spans="1:8" x14ac:dyDescent="0.25">
      <c r="A139" s="3">
        <v>44770</v>
      </c>
      <c r="B139" s="4">
        <v>61.06</v>
      </c>
      <c r="C139" s="4">
        <v>62</v>
      </c>
      <c r="D139" s="4">
        <v>60.28</v>
      </c>
      <c r="E139" s="4">
        <v>61.85</v>
      </c>
      <c r="F139" s="4">
        <v>938.78</v>
      </c>
      <c r="G139" s="4">
        <v>15339500</v>
      </c>
      <c r="H139" s="5">
        <v>1.2855111531765148E-2</v>
      </c>
    </row>
    <row r="140" spans="1:8" x14ac:dyDescent="0.25">
      <c r="A140" s="3">
        <v>44771</v>
      </c>
      <c r="B140" s="4">
        <v>61.27</v>
      </c>
      <c r="C140" s="4">
        <v>61.6</v>
      </c>
      <c r="D140" s="4">
        <v>60.19</v>
      </c>
      <c r="E140" s="4">
        <v>61.16</v>
      </c>
      <c r="F140" s="4">
        <v>773.44</v>
      </c>
      <c r="G140" s="4">
        <v>12705900</v>
      </c>
      <c r="H140" s="5">
        <v>-1.1218717777635378E-2</v>
      </c>
    </row>
    <row r="141" spans="1:8" x14ac:dyDescent="0.25">
      <c r="A141" s="3">
        <v>44774</v>
      </c>
      <c r="B141" s="4">
        <v>61.5</v>
      </c>
      <c r="C141" s="4">
        <v>62.05</v>
      </c>
      <c r="D141" s="4">
        <v>59.85</v>
      </c>
      <c r="E141" s="4">
        <v>60.58</v>
      </c>
      <c r="F141" s="4">
        <v>745.7</v>
      </c>
      <c r="G141" s="4">
        <v>12303300</v>
      </c>
      <c r="H141" s="5">
        <v>-9.5285754617702705E-3</v>
      </c>
    </row>
    <row r="142" spans="1:8" x14ac:dyDescent="0.25">
      <c r="A142" s="3">
        <v>44775</v>
      </c>
      <c r="B142" s="4">
        <v>61.99</v>
      </c>
      <c r="C142" s="4">
        <v>62.5</v>
      </c>
      <c r="D142" s="4">
        <v>60.1</v>
      </c>
      <c r="E142" s="4">
        <v>61.04</v>
      </c>
      <c r="F142" s="4">
        <v>1691.66</v>
      </c>
      <c r="G142" s="4">
        <v>27554300</v>
      </c>
      <c r="H142" s="5">
        <v>7.5645813771103229E-3</v>
      </c>
    </row>
    <row r="143" spans="1:8" x14ac:dyDescent="0.25">
      <c r="A143" s="3">
        <v>44776</v>
      </c>
      <c r="B143" s="4">
        <v>60</v>
      </c>
      <c r="C143" s="4">
        <v>65.3</v>
      </c>
      <c r="D143" s="4">
        <v>59.8</v>
      </c>
      <c r="E143" s="4">
        <v>64.5</v>
      </c>
      <c r="F143" s="4">
        <v>2610.5100000000002</v>
      </c>
      <c r="G143" s="4">
        <v>40919600</v>
      </c>
      <c r="H143" s="5">
        <v>5.5135836825525274E-2</v>
      </c>
    </row>
    <row r="144" spans="1:8" x14ac:dyDescent="0.25">
      <c r="A144" s="3">
        <v>44777</v>
      </c>
      <c r="B144" s="4">
        <v>64.61</v>
      </c>
      <c r="C144" s="4">
        <v>65.12</v>
      </c>
      <c r="D144" s="4">
        <v>62.51</v>
      </c>
      <c r="E144" s="4">
        <v>63.4</v>
      </c>
      <c r="F144" s="4">
        <v>1390.27</v>
      </c>
      <c r="G144" s="4">
        <v>21790500</v>
      </c>
      <c r="H144" s="5">
        <v>-1.7201362358546551E-2</v>
      </c>
    </row>
    <row r="145" spans="1:8" x14ac:dyDescent="0.25">
      <c r="A145" s="3">
        <v>44778</v>
      </c>
      <c r="B145" s="4">
        <v>63.05</v>
      </c>
      <c r="C145" s="4">
        <v>64.599999999999994</v>
      </c>
      <c r="D145" s="4">
        <v>61.58</v>
      </c>
      <c r="E145" s="4">
        <v>63</v>
      </c>
      <c r="F145" s="4">
        <v>1158.52</v>
      </c>
      <c r="G145" s="4">
        <v>18414100</v>
      </c>
      <c r="H145" s="5">
        <v>-6.3291350516475123E-3</v>
      </c>
    </row>
    <row r="146" spans="1:8" x14ac:dyDescent="0.25">
      <c r="A146" s="3">
        <v>44781</v>
      </c>
      <c r="B146" s="4">
        <v>62.66</v>
      </c>
      <c r="C146" s="4">
        <v>64.989999999999995</v>
      </c>
      <c r="D146" s="4">
        <v>62.62</v>
      </c>
      <c r="E146" s="4">
        <v>64.47</v>
      </c>
      <c r="F146" s="4">
        <v>1042.26</v>
      </c>
      <c r="G146" s="4">
        <v>16196500</v>
      </c>
      <c r="H146" s="5">
        <v>2.3065272930995969E-2</v>
      </c>
    </row>
    <row r="147" spans="1:8" x14ac:dyDescent="0.25">
      <c r="A147" s="3">
        <v>44782</v>
      </c>
      <c r="B147" s="4">
        <v>63.99</v>
      </c>
      <c r="C147" s="4">
        <v>67.790000000000006</v>
      </c>
      <c r="D147" s="4">
        <v>63.83</v>
      </c>
      <c r="E147" s="4">
        <v>67.02</v>
      </c>
      <c r="F147" s="4">
        <v>1665.57</v>
      </c>
      <c r="G147" s="4">
        <v>25260600</v>
      </c>
      <c r="H147" s="5">
        <v>3.8791082986635486E-2</v>
      </c>
    </row>
    <row r="148" spans="1:8" x14ac:dyDescent="0.25">
      <c r="A148" s="3">
        <v>44783</v>
      </c>
      <c r="B148" s="4">
        <v>66.91</v>
      </c>
      <c r="C148" s="4">
        <v>69.25</v>
      </c>
      <c r="D148" s="4">
        <v>66.66</v>
      </c>
      <c r="E148" s="4">
        <v>67.599999999999994</v>
      </c>
      <c r="F148" s="4">
        <v>1451.33</v>
      </c>
      <c r="G148" s="4">
        <v>21292200</v>
      </c>
      <c r="H148" s="5">
        <v>8.6169007397540534E-3</v>
      </c>
    </row>
    <row r="149" spans="1:8" x14ac:dyDescent="0.25">
      <c r="A149" s="3">
        <v>44784</v>
      </c>
      <c r="B149" s="4">
        <v>67.08</v>
      </c>
      <c r="C149" s="4">
        <v>68.290000000000006</v>
      </c>
      <c r="D149" s="4">
        <v>66</v>
      </c>
      <c r="E149" s="4">
        <v>67.87</v>
      </c>
      <c r="F149" s="4">
        <v>838.18</v>
      </c>
      <c r="G149" s="4">
        <v>12403000</v>
      </c>
      <c r="H149" s="5">
        <v>3.9861276667488409E-3</v>
      </c>
    </row>
    <row r="150" spans="1:8" x14ac:dyDescent="0.25">
      <c r="A150" s="3">
        <v>44785</v>
      </c>
      <c r="B150" s="4">
        <v>67.010000000000005</v>
      </c>
      <c r="C150" s="4">
        <v>68.7</v>
      </c>
      <c r="D150" s="4">
        <v>66.069999999999993</v>
      </c>
      <c r="E150" s="4">
        <v>66.099999999999994</v>
      </c>
      <c r="F150" s="4">
        <v>867.24</v>
      </c>
      <c r="G150" s="4">
        <v>12945600</v>
      </c>
      <c r="H150" s="5">
        <v>-2.6425363858026577E-2</v>
      </c>
    </row>
    <row r="151" spans="1:8" x14ac:dyDescent="0.25">
      <c r="A151" s="3">
        <v>44788</v>
      </c>
      <c r="B151" s="4">
        <v>66</v>
      </c>
      <c r="C151" s="4">
        <v>66.790000000000006</v>
      </c>
      <c r="D151" s="4">
        <v>65.650000000000006</v>
      </c>
      <c r="E151" s="4">
        <v>66.17</v>
      </c>
      <c r="F151" s="4">
        <v>535.54999999999995</v>
      </c>
      <c r="G151" s="4">
        <v>8098900</v>
      </c>
      <c r="H151" s="5">
        <v>1.0584411663275193E-3</v>
      </c>
    </row>
    <row r="152" spans="1:8" x14ac:dyDescent="0.25">
      <c r="A152" s="3">
        <v>44789</v>
      </c>
      <c r="B152" s="4">
        <v>66.3</v>
      </c>
      <c r="C152" s="4">
        <v>67.02</v>
      </c>
      <c r="D152" s="4">
        <v>65.760000000000005</v>
      </c>
      <c r="E152" s="4">
        <v>66.16</v>
      </c>
      <c r="F152" s="4">
        <v>438.64</v>
      </c>
      <c r="G152" s="4">
        <v>6621200</v>
      </c>
      <c r="H152" s="5">
        <v>-1.5113730853234534E-4</v>
      </c>
    </row>
    <row r="153" spans="1:8" x14ac:dyDescent="0.25">
      <c r="A153" s="3">
        <v>44790</v>
      </c>
      <c r="B153" s="4">
        <v>65.98</v>
      </c>
      <c r="C153" s="4">
        <v>66.2</v>
      </c>
      <c r="D153" s="4">
        <v>64.41</v>
      </c>
      <c r="E153" s="4">
        <v>65.040000000000006</v>
      </c>
      <c r="F153" s="4">
        <v>638.73</v>
      </c>
      <c r="G153" s="4">
        <v>9829400</v>
      </c>
      <c r="H153" s="5">
        <v>-1.7073585475880563E-2</v>
      </c>
    </row>
    <row r="154" spans="1:8" x14ac:dyDescent="0.25">
      <c r="A154" s="3">
        <v>44791</v>
      </c>
      <c r="B154" s="4">
        <v>65.040000000000006</v>
      </c>
      <c r="C154" s="4">
        <v>65.7</v>
      </c>
      <c r="D154" s="4">
        <v>63.85</v>
      </c>
      <c r="E154" s="4">
        <v>65.19</v>
      </c>
      <c r="F154" s="4">
        <v>535.13</v>
      </c>
      <c r="G154" s="4">
        <v>8265300</v>
      </c>
      <c r="H154" s="5">
        <v>2.303617696892751E-3</v>
      </c>
    </row>
    <row r="155" spans="1:8" x14ac:dyDescent="0.25">
      <c r="A155" s="3">
        <v>44792</v>
      </c>
      <c r="B155" s="4">
        <v>64.95</v>
      </c>
      <c r="C155" s="4">
        <v>65.77</v>
      </c>
      <c r="D155" s="4">
        <v>63.51</v>
      </c>
      <c r="E155" s="4">
        <v>63.55</v>
      </c>
      <c r="F155" s="4">
        <v>497.89</v>
      </c>
      <c r="G155" s="4">
        <v>7739200</v>
      </c>
      <c r="H155" s="5">
        <v>-2.5479085300984899E-2</v>
      </c>
    </row>
    <row r="156" spans="1:8" x14ac:dyDescent="0.25">
      <c r="A156" s="3">
        <v>44795</v>
      </c>
      <c r="B156" s="4">
        <v>63.11</v>
      </c>
      <c r="C156" s="4">
        <v>65.05</v>
      </c>
      <c r="D156" s="4">
        <v>62.5</v>
      </c>
      <c r="E156" s="4">
        <v>64.78</v>
      </c>
      <c r="F156" s="4">
        <v>470.13</v>
      </c>
      <c r="G156" s="4">
        <v>7314700</v>
      </c>
      <c r="H156" s="5">
        <v>1.9169916107720342E-2</v>
      </c>
    </row>
    <row r="157" spans="1:8" x14ac:dyDescent="0.25">
      <c r="A157" s="3">
        <v>44796</v>
      </c>
      <c r="B157" s="4">
        <v>64.55</v>
      </c>
      <c r="C157" s="4">
        <v>64.8</v>
      </c>
      <c r="D157" s="4">
        <v>62.62</v>
      </c>
      <c r="E157" s="4">
        <v>63.71</v>
      </c>
      <c r="F157" s="4">
        <v>585.33000000000004</v>
      </c>
      <c r="G157" s="4">
        <v>9218000</v>
      </c>
      <c r="H157" s="5">
        <v>-1.6655377614786478E-2</v>
      </c>
    </row>
    <row r="158" spans="1:8" x14ac:dyDescent="0.25">
      <c r="A158" s="3">
        <v>44797</v>
      </c>
      <c r="B158" s="4">
        <v>63.64</v>
      </c>
      <c r="C158" s="4">
        <v>63.64</v>
      </c>
      <c r="D158" s="4">
        <v>61.06</v>
      </c>
      <c r="E158" s="4">
        <v>61.32</v>
      </c>
      <c r="F158" s="4">
        <v>569.32000000000005</v>
      </c>
      <c r="G158" s="4">
        <v>9200100</v>
      </c>
      <c r="H158" s="5">
        <v>-3.823548212478349E-2</v>
      </c>
    </row>
    <row r="159" spans="1:8" x14ac:dyDescent="0.25">
      <c r="A159" s="3">
        <v>44798</v>
      </c>
      <c r="B159" s="4">
        <v>61.39</v>
      </c>
      <c r="C159" s="4">
        <v>61.87</v>
      </c>
      <c r="D159" s="4">
        <v>60.53</v>
      </c>
      <c r="E159" s="4">
        <v>61.49</v>
      </c>
      <c r="F159" s="4">
        <v>466.63</v>
      </c>
      <c r="G159" s="4">
        <v>7624800</v>
      </c>
      <c r="H159" s="5">
        <v>2.7685059617650284E-3</v>
      </c>
    </row>
    <row r="160" spans="1:8" x14ac:dyDescent="0.25">
      <c r="A160" s="3">
        <v>44799</v>
      </c>
      <c r="B160" s="4">
        <v>61.61</v>
      </c>
      <c r="C160" s="4">
        <v>62.25</v>
      </c>
      <c r="D160" s="4">
        <v>60.21</v>
      </c>
      <c r="E160" s="4">
        <v>60.66</v>
      </c>
      <c r="F160" s="4">
        <v>530.04999999999995</v>
      </c>
      <c r="G160" s="4">
        <v>8667700</v>
      </c>
      <c r="H160" s="5">
        <v>-1.3590057704943407E-2</v>
      </c>
    </row>
    <row r="161" spans="1:8" x14ac:dyDescent="0.25">
      <c r="A161" s="3">
        <v>44802</v>
      </c>
      <c r="B161" s="4">
        <v>60</v>
      </c>
      <c r="C161" s="4">
        <v>61.79</v>
      </c>
      <c r="D161" s="4">
        <v>59.38</v>
      </c>
      <c r="E161" s="4">
        <v>61.63</v>
      </c>
      <c r="F161" s="4">
        <v>559.29</v>
      </c>
      <c r="G161" s="4">
        <v>9149800</v>
      </c>
      <c r="H161" s="5">
        <v>1.5864262713716864E-2</v>
      </c>
    </row>
    <row r="162" spans="1:8" x14ac:dyDescent="0.25">
      <c r="A162" s="3">
        <v>44803</v>
      </c>
      <c r="B162" s="4">
        <v>61</v>
      </c>
      <c r="C162" s="4">
        <v>61.1</v>
      </c>
      <c r="D162" s="4">
        <v>59.38</v>
      </c>
      <c r="E162" s="4">
        <v>59.63</v>
      </c>
      <c r="F162" s="4">
        <v>612.73</v>
      </c>
      <c r="G162" s="4">
        <v>10235800</v>
      </c>
      <c r="H162" s="5">
        <v>-3.2989961839137244E-2</v>
      </c>
    </row>
    <row r="163" spans="1:8" x14ac:dyDescent="0.25">
      <c r="A163" s="3">
        <v>44804</v>
      </c>
      <c r="B163" s="4">
        <v>59.92</v>
      </c>
      <c r="C163" s="4">
        <v>60.13</v>
      </c>
      <c r="D163" s="4">
        <v>58.18</v>
      </c>
      <c r="E163" s="4">
        <v>58.76</v>
      </c>
      <c r="F163" s="4">
        <v>538.12</v>
      </c>
      <c r="G163" s="4">
        <v>9131600</v>
      </c>
      <c r="H163" s="5">
        <v>-1.4697451829338059E-2</v>
      </c>
    </row>
    <row r="164" spans="1:8" x14ac:dyDescent="0.25">
      <c r="A164" s="3">
        <v>44805</v>
      </c>
      <c r="B164" s="4">
        <v>58.76</v>
      </c>
      <c r="C164" s="4">
        <v>59.58</v>
      </c>
      <c r="D164" s="4">
        <v>57.9</v>
      </c>
      <c r="E164" s="4">
        <v>58.58</v>
      </c>
      <c r="F164" s="4">
        <v>599.73</v>
      </c>
      <c r="G164" s="4">
        <v>10240600</v>
      </c>
      <c r="H164" s="5">
        <v>-3.0680099060891664E-3</v>
      </c>
    </row>
    <row r="165" spans="1:8" x14ac:dyDescent="0.25">
      <c r="A165" s="3">
        <v>44806</v>
      </c>
      <c r="B165" s="4">
        <v>58.18</v>
      </c>
      <c r="C165" s="4">
        <v>59.3</v>
      </c>
      <c r="D165" s="4">
        <v>57.6</v>
      </c>
      <c r="E165" s="4">
        <v>58.64</v>
      </c>
      <c r="F165" s="4">
        <v>463.43</v>
      </c>
      <c r="G165" s="4">
        <v>7930000</v>
      </c>
      <c r="H165" s="5">
        <v>1.0237161788086264E-3</v>
      </c>
    </row>
    <row r="166" spans="1:8" x14ac:dyDescent="0.25">
      <c r="A166" s="3">
        <v>44809</v>
      </c>
      <c r="B166" s="4">
        <v>58.5</v>
      </c>
      <c r="C166" s="4">
        <v>59.3</v>
      </c>
      <c r="D166" s="4">
        <v>57.67</v>
      </c>
      <c r="E166" s="4">
        <v>58.11</v>
      </c>
      <c r="F166" s="4">
        <v>331.53</v>
      </c>
      <c r="G166" s="4">
        <v>5673300</v>
      </c>
      <c r="H166" s="5">
        <v>-9.0792914913818447E-3</v>
      </c>
    </row>
    <row r="167" spans="1:8" x14ac:dyDescent="0.25">
      <c r="A167" s="3">
        <v>44810</v>
      </c>
      <c r="B167" s="4">
        <v>58.7</v>
      </c>
      <c r="C167" s="4">
        <v>63.92</v>
      </c>
      <c r="D167" s="4">
        <v>58.7</v>
      </c>
      <c r="E167" s="4">
        <v>62.52</v>
      </c>
      <c r="F167" s="4">
        <v>1754.51</v>
      </c>
      <c r="G167" s="4">
        <v>28199500</v>
      </c>
      <c r="H167" s="5">
        <v>7.3148739466261631E-2</v>
      </c>
    </row>
    <row r="168" spans="1:8" x14ac:dyDescent="0.25">
      <c r="A168" s="3">
        <v>44811</v>
      </c>
      <c r="B168" s="4">
        <v>62.1</v>
      </c>
      <c r="C168" s="4">
        <v>65.11</v>
      </c>
      <c r="D168" s="4">
        <v>61.89</v>
      </c>
      <c r="E168" s="4">
        <v>64.31</v>
      </c>
      <c r="F168" s="4">
        <v>1240.9100000000001</v>
      </c>
      <c r="G168" s="4">
        <v>19493400</v>
      </c>
      <c r="H168" s="5">
        <v>2.8228634593495994E-2</v>
      </c>
    </row>
    <row r="169" spans="1:8" x14ac:dyDescent="0.25">
      <c r="A169" s="3">
        <v>44812</v>
      </c>
      <c r="B169" s="4">
        <v>64.16</v>
      </c>
      <c r="C169" s="4">
        <v>65.989999999999995</v>
      </c>
      <c r="D169" s="4">
        <v>64.16</v>
      </c>
      <c r="E169" s="4">
        <v>65.239999999999995</v>
      </c>
      <c r="F169" s="4">
        <v>994.71</v>
      </c>
      <c r="G169" s="4">
        <v>15204300</v>
      </c>
      <c r="H169" s="5">
        <v>1.4357637606041116E-2</v>
      </c>
    </row>
    <row r="170" spans="1:8" x14ac:dyDescent="0.25">
      <c r="A170" s="3">
        <v>44813</v>
      </c>
      <c r="B170" s="4">
        <v>64.989999999999995</v>
      </c>
      <c r="C170" s="4">
        <v>66.98</v>
      </c>
      <c r="D170" s="4">
        <v>64.58</v>
      </c>
      <c r="E170" s="4">
        <v>65.7</v>
      </c>
      <c r="F170" s="4">
        <v>970.65</v>
      </c>
      <c r="G170" s="4">
        <v>14740200</v>
      </c>
      <c r="H170" s="5">
        <v>7.0261477377519272E-3</v>
      </c>
    </row>
    <row r="171" spans="1:8" x14ac:dyDescent="0.25">
      <c r="A171" s="3">
        <v>44817</v>
      </c>
      <c r="B171" s="4">
        <v>66</v>
      </c>
      <c r="C171" s="4">
        <v>68.099999999999994</v>
      </c>
      <c r="D171" s="4">
        <v>65.489999999999995</v>
      </c>
      <c r="E171" s="4">
        <v>67.63</v>
      </c>
      <c r="F171" s="4">
        <v>1116.69</v>
      </c>
      <c r="G171" s="4">
        <v>16656500</v>
      </c>
      <c r="H171" s="5">
        <v>2.8952746096283715E-2</v>
      </c>
    </row>
    <row r="172" spans="1:8" x14ac:dyDescent="0.25">
      <c r="A172" s="3">
        <v>44818</v>
      </c>
      <c r="B172" s="4">
        <v>67.239999999999995</v>
      </c>
      <c r="C172" s="4">
        <v>68.08</v>
      </c>
      <c r="D172" s="4">
        <v>66.55</v>
      </c>
      <c r="E172" s="4">
        <v>67.319999999999993</v>
      </c>
      <c r="F172" s="4">
        <v>703.22</v>
      </c>
      <c r="G172" s="4">
        <v>10442100</v>
      </c>
      <c r="H172" s="5">
        <v>-4.5943022642433405E-3</v>
      </c>
    </row>
    <row r="173" spans="1:8" x14ac:dyDescent="0.25">
      <c r="A173" s="3">
        <v>44819</v>
      </c>
      <c r="B173" s="4">
        <v>67.39</v>
      </c>
      <c r="C173" s="4">
        <v>67.569999999999993</v>
      </c>
      <c r="D173" s="4">
        <v>64.819999999999993</v>
      </c>
      <c r="E173" s="4">
        <v>65.53</v>
      </c>
      <c r="F173" s="4">
        <v>662</v>
      </c>
      <c r="G173" s="4">
        <v>10073900</v>
      </c>
      <c r="H173" s="5">
        <v>-2.6949316271199588E-2</v>
      </c>
    </row>
    <row r="174" spans="1:8" x14ac:dyDescent="0.25">
      <c r="A174" s="3">
        <v>44820</v>
      </c>
      <c r="B174" s="4">
        <v>65.400000000000006</v>
      </c>
      <c r="C174" s="4">
        <v>67.28</v>
      </c>
      <c r="D174" s="4">
        <v>65.209999999999994</v>
      </c>
      <c r="E174" s="4">
        <v>65.62</v>
      </c>
      <c r="F174" s="4">
        <v>907.87</v>
      </c>
      <c r="G174" s="4">
        <v>13680900</v>
      </c>
      <c r="H174" s="5">
        <v>1.3724744815501299E-3</v>
      </c>
    </row>
    <row r="175" spans="1:8" x14ac:dyDescent="0.25">
      <c r="A175" s="3">
        <v>44823</v>
      </c>
      <c r="B175" s="4">
        <v>65.67</v>
      </c>
      <c r="C175" s="4">
        <v>67.180000000000007</v>
      </c>
      <c r="D175" s="4">
        <v>65.150000000000006</v>
      </c>
      <c r="E175" s="4">
        <v>65.53</v>
      </c>
      <c r="F175" s="4">
        <v>521.23</v>
      </c>
      <c r="G175" s="4">
        <v>7925800</v>
      </c>
      <c r="H175" s="5">
        <v>-1.372474481550098E-3</v>
      </c>
    </row>
    <row r="176" spans="1:8" x14ac:dyDescent="0.25">
      <c r="A176" s="3">
        <v>44824</v>
      </c>
      <c r="B176" s="4">
        <v>65.8</v>
      </c>
      <c r="C176" s="4">
        <v>66.8</v>
      </c>
      <c r="D176" s="4">
        <v>65.03</v>
      </c>
      <c r="E176" s="4">
        <v>65.510000000000005</v>
      </c>
      <c r="F176" s="4">
        <v>470.75</v>
      </c>
      <c r="G176" s="4">
        <v>7158600</v>
      </c>
      <c r="H176" s="5">
        <v>-3.0525030762050445E-4</v>
      </c>
    </row>
    <row r="177" spans="1:8" x14ac:dyDescent="0.25">
      <c r="A177" s="3">
        <v>44825</v>
      </c>
      <c r="B177" s="4">
        <v>65.36</v>
      </c>
      <c r="C177" s="4">
        <v>66.099999999999994</v>
      </c>
      <c r="D177" s="4">
        <v>63.3</v>
      </c>
      <c r="E177" s="4">
        <v>65.790000000000006</v>
      </c>
      <c r="F177" s="4">
        <v>667.16</v>
      </c>
      <c r="G177" s="4">
        <v>10285800</v>
      </c>
      <c r="H177" s="5">
        <v>4.2650483541215442E-3</v>
      </c>
    </row>
    <row r="178" spans="1:8" x14ac:dyDescent="0.25">
      <c r="A178" s="3">
        <v>44826</v>
      </c>
      <c r="B178" s="4">
        <v>65.98</v>
      </c>
      <c r="C178" s="4">
        <v>67.16</v>
      </c>
      <c r="D178" s="4">
        <v>65</v>
      </c>
      <c r="E178" s="4">
        <v>66.31</v>
      </c>
      <c r="F178" s="4">
        <v>632.13</v>
      </c>
      <c r="G178" s="4">
        <v>9506300</v>
      </c>
      <c r="H178" s="5">
        <v>7.8728642828697556E-3</v>
      </c>
    </row>
    <row r="179" spans="1:8" x14ac:dyDescent="0.25">
      <c r="A179" s="3">
        <v>44827</v>
      </c>
      <c r="B179" s="4">
        <v>66.11</v>
      </c>
      <c r="C179" s="4">
        <v>70.7</v>
      </c>
      <c r="D179" s="4">
        <v>65.33</v>
      </c>
      <c r="E179" s="4">
        <v>66.36</v>
      </c>
      <c r="F179" s="4">
        <v>1556</v>
      </c>
      <c r="G179" s="4">
        <v>23050500</v>
      </c>
      <c r="H179" s="5">
        <v>7.5374994146739142E-4</v>
      </c>
    </row>
    <row r="180" spans="1:8" x14ac:dyDescent="0.25">
      <c r="A180" s="3">
        <v>44830</v>
      </c>
      <c r="B180" s="4">
        <v>65.900000000000006</v>
      </c>
      <c r="C180" s="4">
        <v>66.64</v>
      </c>
      <c r="D180" s="4">
        <v>64</v>
      </c>
      <c r="E180" s="4">
        <v>64.2</v>
      </c>
      <c r="F180" s="4">
        <v>829.54</v>
      </c>
      <c r="G180" s="4">
        <v>12712500</v>
      </c>
      <c r="H180" s="5">
        <v>-3.3091254626328219E-2</v>
      </c>
    </row>
    <row r="181" spans="1:8" x14ac:dyDescent="0.25">
      <c r="A181" s="3">
        <v>44831</v>
      </c>
      <c r="B181" s="4">
        <v>64.2</v>
      </c>
      <c r="C181" s="4">
        <v>66.099999999999994</v>
      </c>
      <c r="D181" s="4">
        <v>63.99</v>
      </c>
      <c r="E181" s="4">
        <v>64.92</v>
      </c>
      <c r="F181" s="4">
        <v>527.86</v>
      </c>
      <c r="G181" s="4">
        <v>8114600</v>
      </c>
      <c r="H181" s="5">
        <v>1.1152531950474887E-2</v>
      </c>
    </row>
    <row r="182" spans="1:8" x14ac:dyDescent="0.25">
      <c r="A182" s="3">
        <v>44832</v>
      </c>
      <c r="B182" s="4">
        <v>64.790000000000006</v>
      </c>
      <c r="C182" s="4">
        <v>66.48</v>
      </c>
      <c r="D182" s="4">
        <v>62.9</v>
      </c>
      <c r="E182" s="4">
        <v>63.33</v>
      </c>
      <c r="F182" s="4">
        <v>575</v>
      </c>
      <c r="G182" s="4">
        <v>8942700</v>
      </c>
      <c r="H182" s="5">
        <v>-2.4796592118051564E-2</v>
      </c>
    </row>
    <row r="183" spans="1:8" x14ac:dyDescent="0.25">
      <c r="A183" s="3">
        <v>44833</v>
      </c>
      <c r="B183" s="4">
        <v>64.19</v>
      </c>
      <c r="C183" s="4">
        <v>65.64</v>
      </c>
      <c r="D183" s="4">
        <v>63.07</v>
      </c>
      <c r="E183" s="4">
        <v>63.71</v>
      </c>
      <c r="F183" s="4">
        <v>568.16</v>
      </c>
      <c r="G183" s="4">
        <v>8839100</v>
      </c>
      <c r="H183" s="5">
        <v>5.9823856000578894E-3</v>
      </c>
    </row>
    <row r="184" spans="1:8" x14ac:dyDescent="0.25">
      <c r="A184" s="3">
        <v>44834</v>
      </c>
      <c r="B184" s="4">
        <v>63.72</v>
      </c>
      <c r="C184" s="4">
        <v>63.9</v>
      </c>
      <c r="D184" s="4">
        <v>60.94</v>
      </c>
      <c r="E184" s="4">
        <v>60.95</v>
      </c>
      <c r="F184" s="4">
        <v>586.72</v>
      </c>
      <c r="G184" s="4">
        <v>9519900</v>
      </c>
      <c r="H184" s="5">
        <v>-4.4287680201116238E-2</v>
      </c>
    </row>
    <row r="185" spans="1:8" x14ac:dyDescent="0.25">
      <c r="A185" s="3">
        <v>44844</v>
      </c>
      <c r="B185" s="4">
        <v>61</v>
      </c>
      <c r="C185" s="4">
        <v>62.25</v>
      </c>
      <c r="D185" s="4">
        <v>60.5</v>
      </c>
      <c r="E185" s="4">
        <v>60.97</v>
      </c>
      <c r="F185" s="4">
        <v>469.23</v>
      </c>
      <c r="G185" s="4">
        <v>7647000</v>
      </c>
      <c r="H185" s="5">
        <v>3.2808399244412402E-4</v>
      </c>
    </row>
    <row r="186" spans="1:8" x14ac:dyDescent="0.25">
      <c r="A186" s="3">
        <v>44845</v>
      </c>
      <c r="B186" s="4">
        <v>60.97</v>
      </c>
      <c r="C186" s="4">
        <v>61.69</v>
      </c>
      <c r="D186" s="4">
        <v>60</v>
      </c>
      <c r="E186" s="4">
        <v>60.72</v>
      </c>
      <c r="F186" s="4">
        <v>395.17</v>
      </c>
      <c r="G186" s="4">
        <v>6512400</v>
      </c>
      <c r="H186" s="5">
        <v>-4.10880683235023E-3</v>
      </c>
    </row>
    <row r="187" spans="1:8" x14ac:dyDescent="0.25">
      <c r="A187" s="3">
        <v>44846</v>
      </c>
      <c r="B187" s="4">
        <v>60.42</v>
      </c>
      <c r="C187" s="4">
        <v>61.99</v>
      </c>
      <c r="D187" s="4">
        <v>58.91</v>
      </c>
      <c r="E187" s="4">
        <v>61.9</v>
      </c>
      <c r="F187" s="4">
        <v>434.06</v>
      </c>
      <c r="G187" s="4">
        <v>7184600</v>
      </c>
      <c r="H187" s="5">
        <v>1.9247046603175857E-2</v>
      </c>
    </row>
    <row r="188" spans="1:8" x14ac:dyDescent="0.25">
      <c r="A188" s="3">
        <v>44847</v>
      </c>
      <c r="B188" s="4">
        <v>61.2</v>
      </c>
      <c r="C188" s="4">
        <v>63.36</v>
      </c>
      <c r="D188" s="4">
        <v>61.06</v>
      </c>
      <c r="E188" s="4">
        <v>61.74</v>
      </c>
      <c r="F188" s="4">
        <v>461.08</v>
      </c>
      <c r="G188" s="4">
        <v>7425600</v>
      </c>
      <c r="H188" s="5">
        <v>-2.5881606165371477E-3</v>
      </c>
    </row>
    <row r="189" spans="1:8" x14ac:dyDescent="0.25">
      <c r="A189" s="3">
        <v>44848</v>
      </c>
      <c r="B189" s="4">
        <v>62.3</v>
      </c>
      <c r="C189" s="4">
        <v>65.900000000000006</v>
      </c>
      <c r="D189" s="4">
        <v>61.34</v>
      </c>
      <c r="E189" s="4">
        <v>64.97</v>
      </c>
      <c r="F189" s="4">
        <v>797.45</v>
      </c>
      <c r="G189" s="4">
        <v>12484500</v>
      </c>
      <c r="H189" s="5">
        <v>5.0993605818426206E-2</v>
      </c>
    </row>
    <row r="190" spans="1:8" x14ac:dyDescent="0.25">
      <c r="A190" s="3">
        <v>44851</v>
      </c>
      <c r="B190" s="4">
        <v>64.680000000000007</v>
      </c>
      <c r="C190" s="4">
        <v>69.45</v>
      </c>
      <c r="D190" s="4">
        <v>64.430000000000007</v>
      </c>
      <c r="E190" s="4">
        <v>69.42</v>
      </c>
      <c r="F190" s="4">
        <v>1340.05</v>
      </c>
      <c r="G190" s="4">
        <v>19700200</v>
      </c>
      <c r="H190" s="5">
        <v>6.6249385541200662E-2</v>
      </c>
    </row>
    <row r="191" spans="1:8" x14ac:dyDescent="0.25">
      <c r="A191" s="3">
        <v>44852</v>
      </c>
      <c r="B191" s="4">
        <v>69.430000000000007</v>
      </c>
      <c r="C191" s="4">
        <v>70</v>
      </c>
      <c r="D191" s="4">
        <v>67.33</v>
      </c>
      <c r="E191" s="4">
        <v>69.34</v>
      </c>
      <c r="F191" s="4">
        <v>928.01</v>
      </c>
      <c r="G191" s="4">
        <v>13418400</v>
      </c>
      <c r="H191" s="5">
        <v>-1.1530701767628101E-3</v>
      </c>
    </row>
    <row r="192" spans="1:8" x14ac:dyDescent="0.25">
      <c r="A192" s="3">
        <v>44853</v>
      </c>
      <c r="B192" s="4">
        <v>69.33</v>
      </c>
      <c r="C192" s="4">
        <v>69.430000000000007</v>
      </c>
      <c r="D192" s="4">
        <v>67.98</v>
      </c>
      <c r="E192" s="4">
        <v>68.13</v>
      </c>
      <c r="F192" s="4">
        <v>469.36</v>
      </c>
      <c r="G192" s="4">
        <v>6845100</v>
      </c>
      <c r="H192" s="5">
        <v>-1.7604295471300643E-2</v>
      </c>
    </row>
    <row r="193" spans="1:8" x14ac:dyDescent="0.25">
      <c r="A193" s="3">
        <v>44854</v>
      </c>
      <c r="B193" s="4">
        <v>67.819999999999993</v>
      </c>
      <c r="C193" s="4">
        <v>68.72</v>
      </c>
      <c r="D193" s="4">
        <v>66.849999999999994</v>
      </c>
      <c r="E193" s="4">
        <v>67.400000000000006</v>
      </c>
      <c r="F193" s="4">
        <v>376.43</v>
      </c>
      <c r="G193" s="4">
        <v>5556200</v>
      </c>
      <c r="H193" s="5">
        <v>-1.0772626867315309E-2</v>
      </c>
    </row>
    <row r="194" spans="1:8" x14ac:dyDescent="0.25">
      <c r="A194" s="3">
        <v>44855</v>
      </c>
      <c r="B194" s="4">
        <v>67.41</v>
      </c>
      <c r="C194" s="4">
        <v>69.69</v>
      </c>
      <c r="D194" s="4">
        <v>66.8</v>
      </c>
      <c r="E194" s="4">
        <v>67.8</v>
      </c>
      <c r="F194" s="4">
        <v>592.46</v>
      </c>
      <c r="G194" s="4">
        <v>8712500</v>
      </c>
      <c r="H194" s="5">
        <v>5.9171770280885185E-3</v>
      </c>
    </row>
    <row r="195" spans="1:8" x14ac:dyDescent="0.25">
      <c r="A195" s="3">
        <v>44858</v>
      </c>
      <c r="B195" s="4">
        <v>69.19</v>
      </c>
      <c r="C195" s="4">
        <v>72.83</v>
      </c>
      <c r="D195" s="4">
        <v>69.19</v>
      </c>
      <c r="E195" s="4">
        <v>71.91</v>
      </c>
      <c r="F195" s="4">
        <v>1717.46</v>
      </c>
      <c r="G195" s="4">
        <v>24025200</v>
      </c>
      <c r="H195" s="5">
        <v>5.8853142168052812E-2</v>
      </c>
    </row>
    <row r="196" spans="1:8" x14ac:dyDescent="0.25">
      <c r="A196" s="3">
        <v>44859</v>
      </c>
      <c r="B196" s="4">
        <v>71.8</v>
      </c>
      <c r="C196" s="4">
        <v>73.010000000000005</v>
      </c>
      <c r="D196" s="4">
        <v>70.930000000000007</v>
      </c>
      <c r="E196" s="4">
        <v>71.739999999999995</v>
      </c>
      <c r="F196" s="4">
        <v>774.4</v>
      </c>
      <c r="G196" s="4">
        <v>10736700</v>
      </c>
      <c r="H196" s="5">
        <v>-2.3668650102661678E-3</v>
      </c>
    </row>
    <row r="197" spans="1:8" x14ac:dyDescent="0.25">
      <c r="A197" s="3">
        <v>44860</v>
      </c>
      <c r="B197" s="4">
        <v>71.7</v>
      </c>
      <c r="C197" s="4">
        <v>72.98</v>
      </c>
      <c r="D197" s="4">
        <v>70.87</v>
      </c>
      <c r="E197" s="4">
        <v>72.02</v>
      </c>
      <c r="F197" s="4">
        <v>576.84</v>
      </c>
      <c r="G197" s="4">
        <v>8034600</v>
      </c>
      <c r="H197" s="5">
        <v>3.8953861165926221E-3</v>
      </c>
    </row>
    <row r="198" spans="1:8" x14ac:dyDescent="0.25">
      <c r="A198" s="3">
        <v>44861</v>
      </c>
      <c r="B198" s="4">
        <v>72.150000000000006</v>
      </c>
      <c r="C198" s="4">
        <v>72.150000000000006</v>
      </c>
      <c r="D198" s="4">
        <v>69.989999999999995</v>
      </c>
      <c r="E198" s="4">
        <v>71.3</v>
      </c>
      <c r="F198" s="4">
        <v>551.6</v>
      </c>
      <c r="G198" s="4">
        <v>7774300</v>
      </c>
      <c r="H198" s="5">
        <v>-1.004753080047887E-2</v>
      </c>
    </row>
    <row r="199" spans="1:8" x14ac:dyDescent="0.25">
      <c r="A199" s="3">
        <v>44862</v>
      </c>
      <c r="B199" s="4">
        <v>70.349999999999994</v>
      </c>
      <c r="C199" s="4">
        <v>72.58</v>
      </c>
      <c r="D199" s="4">
        <v>70.03</v>
      </c>
      <c r="E199" s="4">
        <v>70.69</v>
      </c>
      <c r="F199" s="4">
        <v>498.03</v>
      </c>
      <c r="G199" s="4">
        <v>6983600</v>
      </c>
      <c r="H199" s="5">
        <v>-8.5922072373875169E-3</v>
      </c>
    </row>
    <row r="200" spans="1:8" x14ac:dyDescent="0.25">
      <c r="A200" s="3">
        <v>44865</v>
      </c>
      <c r="B200" s="4">
        <v>70.69</v>
      </c>
      <c r="C200" s="4">
        <v>73</v>
      </c>
      <c r="D200" s="4">
        <v>65.98</v>
      </c>
      <c r="E200" s="4">
        <v>72.459999999999994</v>
      </c>
      <c r="F200" s="4">
        <v>1316.52</v>
      </c>
      <c r="G200" s="4">
        <v>18866200</v>
      </c>
      <c r="H200" s="5">
        <v>2.4730565284068372E-2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3BB76-3C86-4700-9CED-D08D4658FFB0}">
  <sheetPr codeName="Sheet2"/>
  <dimension ref="A2:U22"/>
  <sheetViews>
    <sheetView tabSelected="1" zoomScaleNormal="100" workbookViewId="0">
      <selection activeCell="C17" sqref="C17"/>
    </sheetView>
  </sheetViews>
  <sheetFormatPr defaultRowHeight="13.8" x14ac:dyDescent="0.25"/>
  <cols>
    <col min="1" max="1" width="33" bestFit="1" customWidth="1"/>
    <col min="2" max="2" width="12.109375" bestFit="1" customWidth="1"/>
  </cols>
  <sheetData>
    <row r="2" spans="1:21" x14ac:dyDescent="0.25">
      <c r="A2" t="s">
        <v>9</v>
      </c>
      <c r="B2" s="5">
        <v>6.3574664585121107E-2</v>
      </c>
    </row>
    <row r="3" spans="1:21" x14ac:dyDescent="0.25">
      <c r="A3" t="s">
        <v>10</v>
      </c>
      <c r="B3" s="5">
        <v>0.36551460504823202</v>
      </c>
    </row>
    <row r="4" spans="1:21" x14ac:dyDescent="0.25">
      <c r="A4" t="s">
        <v>20</v>
      </c>
      <c r="B4" s="5">
        <v>0.02</v>
      </c>
    </row>
    <row r="6" spans="1:21" x14ac:dyDescent="0.25">
      <c r="A6" t="s">
        <v>14</v>
      </c>
      <c r="B6" s="8">
        <v>68.040000000000006</v>
      </c>
    </row>
    <row r="7" spans="1:21" x14ac:dyDescent="0.25">
      <c r="A7" t="s">
        <v>15</v>
      </c>
      <c r="B7" s="8">
        <v>68.040000000000006</v>
      </c>
    </row>
    <row r="8" spans="1:21" x14ac:dyDescent="0.25">
      <c r="A8" t="s">
        <v>31</v>
      </c>
      <c r="B8" s="8">
        <v>0.5</v>
      </c>
    </row>
    <row r="9" spans="1:21" x14ac:dyDescent="0.25">
      <c r="A9" t="s">
        <v>32</v>
      </c>
      <c r="B9" s="8">
        <f>$B$8/B14</f>
        <v>0.5</v>
      </c>
      <c r="C9" s="8">
        <f t="shared" ref="C9:U9" si="0">$B$8/C14</f>
        <v>0.25</v>
      </c>
      <c r="D9" s="8">
        <f t="shared" si="0"/>
        <v>0.16666666666666666</v>
      </c>
      <c r="E9" s="8">
        <f t="shared" si="0"/>
        <v>0.125</v>
      </c>
      <c r="F9" s="8">
        <f t="shared" si="0"/>
        <v>0.1</v>
      </c>
      <c r="G9" s="8">
        <f t="shared" si="0"/>
        <v>8.3333333333333329E-2</v>
      </c>
      <c r="H9" s="8">
        <f t="shared" si="0"/>
        <v>7.1428571428571425E-2</v>
      </c>
      <c r="I9" s="8">
        <f t="shared" si="0"/>
        <v>6.25E-2</v>
      </c>
      <c r="J9" s="8">
        <f t="shared" si="0"/>
        <v>5.5555555555555552E-2</v>
      </c>
      <c r="K9" s="8">
        <f t="shared" si="0"/>
        <v>0.05</v>
      </c>
      <c r="L9" s="8">
        <f t="shared" si="0"/>
        <v>4.5454545454545456E-2</v>
      </c>
      <c r="M9" s="8">
        <f t="shared" si="0"/>
        <v>4.1666666666666664E-2</v>
      </c>
      <c r="N9" s="8">
        <f t="shared" si="0"/>
        <v>3.8461538461538464E-2</v>
      </c>
      <c r="O9" s="8">
        <f t="shared" si="0"/>
        <v>3.5714285714285712E-2</v>
      </c>
      <c r="P9" s="8">
        <f t="shared" si="0"/>
        <v>3.3333333333333333E-2</v>
      </c>
      <c r="Q9" s="8">
        <f t="shared" si="0"/>
        <v>3.125E-2</v>
      </c>
      <c r="R9" s="8">
        <f t="shared" si="0"/>
        <v>2.9411764705882353E-2</v>
      </c>
      <c r="S9" s="8">
        <f t="shared" si="0"/>
        <v>2.7777777777777776E-2</v>
      </c>
      <c r="T9" s="8">
        <f t="shared" si="0"/>
        <v>2.6315789473684209E-2</v>
      </c>
      <c r="U9" s="8">
        <f t="shared" si="0"/>
        <v>2.5000000000000001E-2</v>
      </c>
    </row>
    <row r="10" spans="1:21" x14ac:dyDescent="0.25">
      <c r="A10" t="s">
        <v>16</v>
      </c>
      <c r="B10">
        <f>EXP($B$3*SQRT(B9))</f>
        <v>1.2949315749153529</v>
      </c>
      <c r="C10">
        <f t="shared" ref="C10:U10" si="1">EXP($B$3*SQRT(C9))</f>
        <v>1.2005230088173477</v>
      </c>
      <c r="D10">
        <f t="shared" si="1"/>
        <v>1.1609291926935499</v>
      </c>
      <c r="E10">
        <f t="shared" si="1"/>
        <v>1.1379506030207782</v>
      </c>
      <c r="F10">
        <f t="shared" si="1"/>
        <v>1.1225308987718359</v>
      </c>
      <c r="G10">
        <f t="shared" si="1"/>
        <v>1.1112827489785935</v>
      </c>
      <c r="H10">
        <f t="shared" si="1"/>
        <v>1.1026185901127592</v>
      </c>
      <c r="I10">
        <f t="shared" si="1"/>
        <v>1.0956838087775815</v>
      </c>
      <c r="J10">
        <f t="shared" si="1"/>
        <v>1.089972665733006</v>
      </c>
      <c r="K10">
        <f t="shared" si="1"/>
        <v>1.0851644587226323</v>
      </c>
      <c r="L10">
        <f t="shared" si="1"/>
        <v>1.0810447943009034</v>
      </c>
      <c r="M10">
        <f t="shared" si="1"/>
        <v>1.0774642419558758</v>
      </c>
      <c r="N10">
        <f t="shared" si="1"/>
        <v>1.074315067150545</v>
      </c>
      <c r="O10">
        <f t="shared" si="1"/>
        <v>1.0715173923065748</v>
      </c>
      <c r="P10">
        <f t="shared" si="1"/>
        <v>1.0690105824945118</v>
      </c>
      <c r="Q10">
        <f t="shared" si="1"/>
        <v>1.0667476754231895</v>
      </c>
      <c r="R10">
        <f t="shared" si="1"/>
        <v>1.0646916615963982</v>
      </c>
      <c r="S10">
        <f t="shared" si="1"/>
        <v>1.0628129300374005</v>
      </c>
      <c r="T10">
        <f t="shared" si="1"/>
        <v>1.0610874714302392</v>
      </c>
      <c r="U10">
        <f t="shared" si="1"/>
        <v>1.0594955869525065</v>
      </c>
    </row>
    <row r="11" spans="1:21" x14ac:dyDescent="0.25">
      <c r="A11" t="s">
        <v>17</v>
      </c>
      <c r="B11">
        <f>EXP(-$B$3*SQRT(B9))</f>
        <v>0.77224157582640451</v>
      </c>
      <c r="C11">
        <f t="shared" ref="C11:U11" si="2">EXP(-$B$3*SQRT(C9))</f>
        <v>0.83297029099435105</v>
      </c>
      <c r="D11">
        <f t="shared" si="2"/>
        <v>0.86137897667973429</v>
      </c>
      <c r="E11">
        <f t="shared" si="2"/>
        <v>0.87877276688937311</v>
      </c>
      <c r="F11">
        <f t="shared" si="2"/>
        <v>0.89084407484382189</v>
      </c>
      <c r="G11">
        <f t="shared" si="2"/>
        <v>0.89986099480003967</v>
      </c>
      <c r="H11">
        <f t="shared" si="2"/>
        <v>0.90693192457215421</v>
      </c>
      <c r="I11">
        <f t="shared" si="2"/>
        <v>0.912672061035261</v>
      </c>
      <c r="J11">
        <f t="shared" si="2"/>
        <v>0.91745419994317068</v>
      </c>
      <c r="K11">
        <f t="shared" si="2"/>
        <v>0.92151930701556428</v>
      </c>
      <c r="L11">
        <f t="shared" si="2"/>
        <v>0.925031048918455</v>
      </c>
      <c r="M11">
        <f t="shared" si="2"/>
        <v>0.92810504614495781</v>
      </c>
      <c r="N11">
        <f t="shared" si="2"/>
        <v>0.93082563074568581</v>
      </c>
      <c r="O11">
        <f t="shared" si="2"/>
        <v>0.93325596689324408</v>
      </c>
      <c r="P11">
        <f t="shared" si="2"/>
        <v>0.93544443467203375</v>
      </c>
      <c r="Q11">
        <f t="shared" si="2"/>
        <v>0.93742880630444314</v>
      </c>
      <c r="R11">
        <f t="shared" si="2"/>
        <v>0.93923906429453996</v>
      </c>
      <c r="S11">
        <f t="shared" si="2"/>
        <v>0.94089935466329888</v>
      </c>
      <c r="T11">
        <f t="shared" si="2"/>
        <v>0.94242937262476634</v>
      </c>
      <c r="U11">
        <f t="shared" si="2"/>
        <v>0.94384536595981749</v>
      </c>
    </row>
    <row r="12" spans="1:21" x14ac:dyDescent="0.25">
      <c r="A12" t="s">
        <v>18</v>
      </c>
      <c r="B12">
        <f>EXP($B$4*B9)</f>
        <v>1.0100501670841679</v>
      </c>
      <c r="C12">
        <f t="shared" ref="C12:U12" si="3">EXP($B$4*C9)</f>
        <v>1.005012520859401</v>
      </c>
      <c r="D12">
        <f t="shared" si="3"/>
        <v>1.0033388950668758</v>
      </c>
      <c r="E12">
        <f t="shared" si="3"/>
        <v>1.0025031276057952</v>
      </c>
      <c r="F12">
        <f t="shared" si="3"/>
        <v>1.0020020013340003</v>
      </c>
      <c r="G12">
        <f t="shared" si="3"/>
        <v>1.001668056327482</v>
      </c>
      <c r="H12">
        <f t="shared" si="3"/>
        <v>1.0014295923228169</v>
      </c>
      <c r="I12">
        <f t="shared" si="3"/>
        <v>1.0012507815756226</v>
      </c>
      <c r="J12">
        <f t="shared" si="3"/>
        <v>1.001111728623749</v>
      </c>
      <c r="K12">
        <f t="shared" si="3"/>
        <v>1.0010005001667084</v>
      </c>
      <c r="L12">
        <f t="shared" si="3"/>
        <v>1.0009095042574789</v>
      </c>
      <c r="M12">
        <f t="shared" si="3"/>
        <v>1.0008336806520264</v>
      </c>
      <c r="N12">
        <f t="shared" si="3"/>
        <v>1.0007695267030945</v>
      </c>
      <c r="O12">
        <f t="shared" si="3"/>
        <v>1.0007145408770759</v>
      </c>
      <c r="P12">
        <f t="shared" si="3"/>
        <v>1.0006668889382799</v>
      </c>
      <c r="Q12">
        <f t="shared" si="3"/>
        <v>1.0006251953531964</v>
      </c>
      <c r="R12">
        <f t="shared" si="3"/>
        <v>1.0005884083384269</v>
      </c>
      <c r="S12">
        <f t="shared" si="3"/>
        <v>1.0005557099051252</v>
      </c>
      <c r="T12">
        <f t="shared" si="3"/>
        <v>1.0005264543179311</v>
      </c>
      <c r="U12">
        <f t="shared" si="3"/>
        <v>1.0005001250208359</v>
      </c>
    </row>
    <row r="14" spans="1:21" x14ac:dyDescent="0.25">
      <c r="A14" t="s">
        <v>19</v>
      </c>
      <c r="B14">
        <v>1</v>
      </c>
      <c r="C14">
        <v>2</v>
      </c>
      <c r="D14">
        <v>3</v>
      </c>
      <c r="E14">
        <v>4</v>
      </c>
      <c r="F14">
        <v>5</v>
      </c>
      <c r="G14">
        <v>6</v>
      </c>
      <c r="H14">
        <v>7</v>
      </c>
      <c r="I14">
        <v>8</v>
      </c>
      <c r="J14">
        <v>9</v>
      </c>
      <c r="K14">
        <v>10</v>
      </c>
      <c r="L14">
        <v>11</v>
      </c>
      <c r="M14">
        <v>12</v>
      </c>
      <c r="N14">
        <v>13</v>
      </c>
      <c r="O14">
        <v>14</v>
      </c>
      <c r="P14">
        <v>15</v>
      </c>
      <c r="Q14">
        <v>16</v>
      </c>
      <c r="R14">
        <v>17</v>
      </c>
      <c r="S14">
        <v>18</v>
      </c>
      <c r="T14">
        <v>19</v>
      </c>
      <c r="U14">
        <v>20</v>
      </c>
    </row>
    <row r="17" spans="1:21" x14ac:dyDescent="0.25">
      <c r="A17" t="s">
        <v>23</v>
      </c>
      <c r="B17" s="11">
        <f>Binomial_eur_call(B10,B11,B12,$B$6,$B$7,B14)</f>
        <v>9.0391164144893317</v>
      </c>
      <c r="C17" s="11">
        <f t="shared" ref="C17:U17" si="4">Binomial_eur_call(C10,C11,C12,$B$6,$B$7,C14)</f>
        <v>6.5124190114745852</v>
      </c>
      <c r="D17" s="11">
        <f t="shared" si="4"/>
        <v>7.8910900628387601</v>
      </c>
      <c r="E17" s="11">
        <f t="shared" si="4"/>
        <v>6.8869150503295344</v>
      </c>
      <c r="F17" s="11">
        <f t="shared" si="4"/>
        <v>7.6546892799912012</v>
      </c>
      <c r="G17" s="11">
        <f t="shared" si="4"/>
        <v>7.0219430346594844</v>
      </c>
      <c r="H17" s="11">
        <f t="shared" si="4"/>
        <v>7.5538084542985864</v>
      </c>
      <c r="I17" s="11">
        <f t="shared" si="4"/>
        <v>7.0912007901636196</v>
      </c>
      <c r="J17" s="11">
        <f t="shared" si="4"/>
        <v>7.498015627461422</v>
      </c>
      <c r="K17" s="11">
        <f t="shared" si="4"/>
        <v>7.1332725467915479</v>
      </c>
      <c r="L17" s="11">
        <f t="shared" si="4"/>
        <v>7.4626339215509434</v>
      </c>
      <c r="M17" s="11">
        <f t="shared" si="4"/>
        <v>7.1615243217937419</v>
      </c>
      <c r="N17" s="11">
        <f t="shared" si="4"/>
        <v>7.4382032580590067</v>
      </c>
      <c r="O17" s="11">
        <f t="shared" si="4"/>
        <v>7.1818000685963206</v>
      </c>
      <c r="P17" s="11">
        <f t="shared" si="4"/>
        <v>7.4203239184508227</v>
      </c>
      <c r="Q17" s="11">
        <f t="shared" si="4"/>
        <v>7.1970577219562495</v>
      </c>
      <c r="R17" s="11">
        <f t="shared" si="4"/>
        <v>7.4066735649781039</v>
      </c>
      <c r="S17" s="11">
        <f t="shared" si="4"/>
        <v>7.2089541859106685</v>
      </c>
      <c r="T17" s="11">
        <f t="shared" si="4"/>
        <v>7.395911073889498</v>
      </c>
      <c r="U17" s="11">
        <f t="shared" si="4"/>
        <v>7.2184895166242438</v>
      </c>
    </row>
    <row r="18" spans="1:21" x14ac:dyDescent="0.25">
      <c r="A18" t="s">
        <v>24</v>
      </c>
      <c r="B18">
        <f>Binomial_eur_put(B10,B11,B12,$B$6,$B$7,B14)</f>
        <v>8.3621071027827298</v>
      </c>
      <c r="C18">
        <f t="shared" ref="C18:U18" si="5">Binomial_eur_put(C10,C11,C12,$B$6,$B$7,C14)</f>
        <v>5.8354096997679932</v>
      </c>
      <c r="D18">
        <f t="shared" si="5"/>
        <v>7.2140807511321583</v>
      </c>
      <c r="E18">
        <f t="shared" si="5"/>
        <v>6.2099057386229077</v>
      </c>
      <c r="F18">
        <f t="shared" si="5"/>
        <v>6.9776799682845905</v>
      </c>
      <c r="G18">
        <f t="shared" si="5"/>
        <v>6.3449337229529164</v>
      </c>
      <c r="H18">
        <f t="shared" si="5"/>
        <v>6.8767991425919917</v>
      </c>
      <c r="I18">
        <f t="shared" si="5"/>
        <v>6.4141914784569991</v>
      </c>
      <c r="J18">
        <f t="shared" si="5"/>
        <v>6.8210063157548007</v>
      </c>
      <c r="K18">
        <f t="shared" si="5"/>
        <v>6.4562632350849185</v>
      </c>
      <c r="L18">
        <f t="shared" si="5"/>
        <v>6.7856246098443904</v>
      </c>
      <c r="M18">
        <f t="shared" si="5"/>
        <v>6.484515010087037</v>
      </c>
      <c r="N18">
        <f t="shared" si="5"/>
        <v>6.7611939463524493</v>
      </c>
      <c r="O18">
        <f t="shared" si="5"/>
        <v>6.5047907568897614</v>
      </c>
      <c r="P18">
        <f t="shared" si="5"/>
        <v>6.7433146067441214</v>
      </c>
      <c r="Q18">
        <f t="shared" si="5"/>
        <v>6.5200484102497285</v>
      </c>
      <c r="R18">
        <f t="shared" si="5"/>
        <v>6.7296642532714799</v>
      </c>
      <c r="S18">
        <f t="shared" si="5"/>
        <v>6.5319448742039867</v>
      </c>
      <c r="T18">
        <f t="shared" si="5"/>
        <v>6.7189017621827674</v>
      </c>
      <c r="U18">
        <f t="shared" si="5"/>
        <v>6.5414802049177467</v>
      </c>
    </row>
    <row r="19" spans="1:21" x14ac:dyDescent="0.25">
      <c r="A19" t="s">
        <v>25</v>
      </c>
      <c r="B19" s="12">
        <f>U17</f>
        <v>7.2184895166242438</v>
      </c>
    </row>
    <row r="20" spans="1:21" x14ac:dyDescent="0.25">
      <c r="A20" t="s">
        <v>26</v>
      </c>
      <c r="B20">
        <f>U18</f>
        <v>6.5414802049177467</v>
      </c>
    </row>
    <row r="21" spans="1:21" x14ac:dyDescent="0.25">
      <c r="A21" t="s">
        <v>21</v>
      </c>
      <c r="B21">
        <f>BSCall(B6,B7,B8,B4,B3)</f>
        <v>7.3049897717004129</v>
      </c>
    </row>
    <row r="22" spans="1:21" x14ac:dyDescent="0.25">
      <c r="A22" t="s">
        <v>22</v>
      </c>
      <c r="B22" cm="1">
        <f t="array" ref="B22">BSput(B6,B7,B8,B4,B3)</f>
        <v>6.6279804599938217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862CF-80FD-443C-BB74-38B099B55018}">
  <sheetPr codeName="Sheet4"/>
  <dimension ref="A1:E21"/>
  <sheetViews>
    <sheetView workbookViewId="0">
      <selection sqref="A1:E21"/>
    </sheetView>
  </sheetViews>
  <sheetFormatPr defaultRowHeight="13.8" x14ac:dyDescent="0.25"/>
  <sheetData>
    <row r="1" spans="1:5" x14ac:dyDescent="0.25">
      <c r="A1" t="s">
        <v>30</v>
      </c>
      <c r="B1" t="s">
        <v>28</v>
      </c>
      <c r="C1" t="s">
        <v>21</v>
      </c>
      <c r="D1" t="s">
        <v>29</v>
      </c>
      <c r="E1" t="s">
        <v>22</v>
      </c>
    </row>
    <row r="2" spans="1:5" x14ac:dyDescent="0.25">
      <c r="A2">
        <v>1</v>
      </c>
      <c r="B2">
        <v>9.0391164144893317</v>
      </c>
      <c r="C2">
        <v>7.3049897717004129</v>
      </c>
      <c r="D2">
        <v>8.3621071027827298</v>
      </c>
      <c r="E2">
        <v>6.6279804599938217</v>
      </c>
    </row>
    <row r="3" spans="1:5" x14ac:dyDescent="0.25">
      <c r="A3">
        <v>2</v>
      </c>
      <c r="B3">
        <v>6.5124190114745852</v>
      </c>
      <c r="C3">
        <v>7.3049897717004129</v>
      </c>
      <c r="D3">
        <v>5.8354096997679932</v>
      </c>
      <c r="E3">
        <v>6.6279804599938217</v>
      </c>
    </row>
    <row r="4" spans="1:5" x14ac:dyDescent="0.25">
      <c r="A4">
        <v>3</v>
      </c>
      <c r="B4">
        <v>7.8910900628387601</v>
      </c>
      <c r="C4">
        <v>7.3049897717004129</v>
      </c>
      <c r="D4">
        <v>7.2140807511321583</v>
      </c>
      <c r="E4">
        <v>6.6279804599938217</v>
      </c>
    </row>
    <row r="5" spans="1:5" x14ac:dyDescent="0.25">
      <c r="A5">
        <v>4</v>
      </c>
      <c r="B5">
        <v>6.8869150503295344</v>
      </c>
      <c r="C5">
        <v>7.3049897717004129</v>
      </c>
      <c r="D5">
        <v>6.2099057386229077</v>
      </c>
      <c r="E5">
        <v>6.6279804599938217</v>
      </c>
    </row>
    <row r="6" spans="1:5" x14ac:dyDescent="0.25">
      <c r="A6">
        <v>5</v>
      </c>
      <c r="B6">
        <v>7.6546892799912012</v>
      </c>
      <c r="C6">
        <v>7.3049897717004129</v>
      </c>
      <c r="D6">
        <v>6.9776799682845905</v>
      </c>
      <c r="E6">
        <v>6.6279804599938217</v>
      </c>
    </row>
    <row r="7" spans="1:5" x14ac:dyDescent="0.25">
      <c r="A7">
        <v>6</v>
      </c>
      <c r="B7">
        <v>7.0219430346594844</v>
      </c>
      <c r="C7">
        <v>7.3049897717004129</v>
      </c>
      <c r="D7">
        <v>6.3449337229529164</v>
      </c>
      <c r="E7">
        <v>6.6279804599938217</v>
      </c>
    </row>
    <row r="8" spans="1:5" x14ac:dyDescent="0.25">
      <c r="A8">
        <v>7</v>
      </c>
      <c r="B8">
        <v>7.5538084542985864</v>
      </c>
      <c r="C8">
        <v>7.3049897717004129</v>
      </c>
      <c r="D8">
        <v>6.8767991425919917</v>
      </c>
      <c r="E8">
        <v>6.6279804599938217</v>
      </c>
    </row>
    <row r="9" spans="1:5" x14ac:dyDescent="0.25">
      <c r="A9">
        <v>8</v>
      </c>
      <c r="B9">
        <v>7.0912007901636196</v>
      </c>
      <c r="C9">
        <v>7.3049897717004129</v>
      </c>
      <c r="D9">
        <v>6.4141914784569991</v>
      </c>
      <c r="E9">
        <v>6.6279804599938217</v>
      </c>
    </row>
    <row r="10" spans="1:5" x14ac:dyDescent="0.25">
      <c r="A10">
        <v>9</v>
      </c>
      <c r="B10">
        <v>7.498015627461422</v>
      </c>
      <c r="C10">
        <v>7.3049897717004129</v>
      </c>
      <c r="D10">
        <v>6.8210063157548007</v>
      </c>
      <c r="E10">
        <v>6.6279804599938217</v>
      </c>
    </row>
    <row r="11" spans="1:5" x14ac:dyDescent="0.25">
      <c r="A11">
        <v>10</v>
      </c>
      <c r="B11">
        <v>7.1332725467915479</v>
      </c>
      <c r="C11">
        <v>7.3049897717004129</v>
      </c>
      <c r="D11">
        <v>6.4562632350849185</v>
      </c>
      <c r="E11">
        <v>6.6279804599938217</v>
      </c>
    </row>
    <row r="12" spans="1:5" x14ac:dyDescent="0.25">
      <c r="A12">
        <v>11</v>
      </c>
      <c r="B12">
        <v>7.4626339215509434</v>
      </c>
      <c r="C12">
        <v>7.3049897717004129</v>
      </c>
      <c r="D12">
        <v>6.7856246098443904</v>
      </c>
      <c r="E12">
        <v>6.6279804599938217</v>
      </c>
    </row>
    <row r="13" spans="1:5" x14ac:dyDescent="0.25">
      <c r="A13">
        <v>12</v>
      </c>
      <c r="B13">
        <v>7.1615243217937419</v>
      </c>
      <c r="C13">
        <v>7.3049897717004129</v>
      </c>
      <c r="D13">
        <v>6.484515010087037</v>
      </c>
      <c r="E13">
        <v>6.6279804599938217</v>
      </c>
    </row>
    <row r="14" spans="1:5" x14ac:dyDescent="0.25">
      <c r="A14">
        <v>13</v>
      </c>
      <c r="B14">
        <v>7.4382032580590067</v>
      </c>
      <c r="C14">
        <v>7.3049897717004129</v>
      </c>
      <c r="D14">
        <v>6.7611939463524493</v>
      </c>
      <c r="E14">
        <v>6.6279804599938217</v>
      </c>
    </row>
    <row r="15" spans="1:5" x14ac:dyDescent="0.25">
      <c r="A15">
        <v>14</v>
      </c>
      <c r="B15">
        <v>7.1818000685963206</v>
      </c>
      <c r="C15">
        <v>7.3049897717004129</v>
      </c>
      <c r="D15">
        <v>6.5047907568897614</v>
      </c>
      <c r="E15">
        <v>6.6279804599938217</v>
      </c>
    </row>
    <row r="16" spans="1:5" x14ac:dyDescent="0.25">
      <c r="A16">
        <v>15</v>
      </c>
      <c r="B16">
        <v>7.4203239184508227</v>
      </c>
      <c r="C16">
        <v>7.3049897717004129</v>
      </c>
      <c r="D16">
        <v>6.7433146067441214</v>
      </c>
      <c r="E16">
        <v>6.6279804599938217</v>
      </c>
    </row>
    <row r="17" spans="1:5" x14ac:dyDescent="0.25">
      <c r="A17">
        <v>16</v>
      </c>
      <c r="B17">
        <v>7.1970577219562495</v>
      </c>
      <c r="C17">
        <v>7.3049897717004129</v>
      </c>
      <c r="D17">
        <v>6.5200484102497285</v>
      </c>
      <c r="E17">
        <v>6.6279804599938217</v>
      </c>
    </row>
    <row r="18" spans="1:5" x14ac:dyDescent="0.25">
      <c r="A18">
        <v>17</v>
      </c>
      <c r="B18">
        <v>7.4066735649781039</v>
      </c>
      <c r="C18">
        <v>7.3049897717004129</v>
      </c>
      <c r="D18">
        <v>6.7296642532714799</v>
      </c>
      <c r="E18">
        <v>6.6279804599938217</v>
      </c>
    </row>
    <row r="19" spans="1:5" x14ac:dyDescent="0.25">
      <c r="A19">
        <v>18</v>
      </c>
      <c r="B19">
        <v>7.2089541859106685</v>
      </c>
      <c r="C19">
        <v>7.3049897717004129</v>
      </c>
      <c r="D19">
        <v>6.5319448742039867</v>
      </c>
      <c r="E19">
        <v>6.6279804599938217</v>
      </c>
    </row>
    <row r="20" spans="1:5" x14ac:dyDescent="0.25">
      <c r="A20">
        <v>19</v>
      </c>
      <c r="B20">
        <v>7.395911073889498</v>
      </c>
      <c r="C20">
        <v>7.3049897717004129</v>
      </c>
      <c r="D20">
        <v>6.7189017621827674</v>
      </c>
      <c r="E20">
        <v>6.6279804599938217</v>
      </c>
    </row>
    <row r="21" spans="1:5" x14ac:dyDescent="0.25">
      <c r="A21">
        <v>20</v>
      </c>
      <c r="B21">
        <v>7.2184895166242438</v>
      </c>
      <c r="C21">
        <v>7.3049897717004129</v>
      </c>
      <c r="D21">
        <v>6.5414802049177467</v>
      </c>
      <c r="E21">
        <v>6.6279804599938217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600760.SH(中航沈飞）</vt:lpstr>
      <vt:lpstr>Q1</vt:lpstr>
      <vt:lpstr>Q2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wangsiyuan</dc:creator>
  <cp:lastModifiedBy>Administrator</cp:lastModifiedBy>
  <dcterms:created xsi:type="dcterms:W3CDTF">2022-12-11T05:59:58Z</dcterms:created>
  <dcterms:modified xsi:type="dcterms:W3CDTF">2023-04-23T14:36:04Z</dcterms:modified>
</cp:coreProperties>
</file>